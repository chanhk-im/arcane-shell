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참조데이터" sheetId="2" state="visible" r:id="rId4"/>
    <sheet name="랭크별 DPS·TT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<sst xmlns="http://schemas.openxmlformats.org/spreadsheetml/2006/main" count="94" uniqueCount="86">
  <si>
    <r>
      <rPr>
        <b val="true"/>
        <sz val="14"/>
        <rFont val="Arial"/>
        <family val="0"/>
        <charset val="1"/>
      </rPr>
      <t xml:space="preserve">DPS </t>
    </r>
    <r>
      <rPr>
        <b val="true"/>
        <sz val="14"/>
        <rFont val="Noto Sans CJK SC"/>
        <family val="2"/>
      </rPr>
      <t xml:space="preserve">성장 모델 — 가정 </t>
    </r>
    <r>
      <rPr>
        <b val="true"/>
        <sz val="14"/>
        <rFont val="Arial"/>
        <family val="0"/>
        <charset val="1"/>
      </rPr>
      <t xml:space="preserve">(v1, </t>
    </r>
    <r>
      <rPr>
        <b val="true"/>
        <sz val="14"/>
        <rFont val="Noto Sans CJK SC"/>
        <family val="2"/>
      </rPr>
      <t xml:space="preserve">첫 시안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</si>
  <si>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C00000"/>
        <rFont val="Noto Sans CJK SC"/>
        <family val="2"/>
      </rPr>
      <t xml:space="preserve">※ 부품 강화</t>
    </r>
    <r>
      <rPr>
        <i val="true"/>
        <sz val="9"/>
        <color rgb="FFC00000"/>
        <rFont val="Arial"/>
        <family val="0"/>
        <charset val="1"/>
      </rPr>
      <t xml:space="preserve">·</t>
    </r>
    <r>
      <rPr>
        <i val="true"/>
        <sz val="9"/>
        <color rgb="FFC00000"/>
        <rFont val="Noto Sans CJK SC"/>
        <family val="2"/>
      </rPr>
      <t xml:space="preserve">룬 옵션은 아직 수치설계 전이라 이번 모델에서는 제외했습니다 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제외했다는 것 자체가 중요한 전제입니다 — 실제 </t>
    </r>
    <r>
      <rPr>
        <i val="true"/>
        <sz val="9"/>
        <color rgb="FFC00000"/>
        <rFont val="Arial"/>
        <family val="0"/>
        <charset val="1"/>
      </rPr>
      <t xml:space="preserve">DPS</t>
    </r>
    <r>
      <rPr>
        <i val="true"/>
        <sz val="9"/>
        <color rgb="FFC00000"/>
        <rFont val="Noto Sans CJK SC"/>
        <family val="2"/>
      </rPr>
      <t xml:space="preserve">는 이보다 더 높을 것입니다</t>
    </r>
    <r>
      <rPr>
        <i val="true"/>
        <sz val="9"/>
        <color rgb="FFC00000"/>
        <rFont val="Arial"/>
        <family val="0"/>
        <charset val="1"/>
      </rPr>
      <t xml:space="preserve">).</t>
    </r>
  </si>
  <si>
    <t xml:space="preserve">트리 → 스탯 환산</t>
  </si>
  <si>
    <t xml:space="preserve">깊이당 노드 수</t>
  </si>
  <si>
    <r>
      <rPr>
        <sz val="11"/>
        <color theme="1"/>
        <rFont val="Noto Sans CJK SC"/>
        <family val="2"/>
      </rPr>
      <t xml:space="preserve">노드 스탯 환산계수 </t>
    </r>
    <r>
      <rPr>
        <sz val="11"/>
        <color theme="1"/>
        <rFont val="Calibri"/>
        <family val="2"/>
        <charset val="1"/>
      </rPr>
      <t xml:space="preserve">k (</t>
    </r>
    <r>
      <rPr>
        <sz val="11"/>
        <color theme="1"/>
        <rFont val="Noto Sans CJK SC"/>
        <family val="2"/>
      </rPr>
      <t xml:space="preserve">스탯증가량 </t>
    </r>
    <r>
      <rPr>
        <sz val="11"/>
        <color theme="1"/>
        <rFont val="Calibri"/>
        <family val="2"/>
        <charset val="1"/>
      </rPr>
      <t xml:space="preserve">= 1</t>
    </r>
    <r>
      <rPr>
        <sz val="11"/>
        <color theme="1"/>
        <rFont val="Noto Sans CJK SC"/>
        <family val="2"/>
      </rPr>
      <t xml:space="preserve">강비용 </t>
    </r>
    <r>
      <rPr>
        <sz val="11"/>
        <color theme="1"/>
        <rFont val="Calibri"/>
        <family val="2"/>
        <charset val="1"/>
      </rPr>
      <t xml:space="preserve">× k)</t>
    </r>
  </si>
  <si>
    <r>
      <rPr>
        <sz val="11"/>
        <color theme="1"/>
        <rFont val="Noto Sans CJK SC"/>
        <family val="2"/>
      </rPr>
      <t xml:space="preserve">스탯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종 균등분배 비율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주문력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민첩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마나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마나회복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지능</t>
    </r>
    <r>
      <rPr>
        <sz val="11"/>
        <color theme="1"/>
        <rFont val="Calibri"/>
        <family val="2"/>
        <charset val="1"/>
      </rPr>
      <t xml:space="preserve">)</t>
    </r>
  </si>
  <si>
    <t xml:space="preserve">전투 공식 계수</t>
  </si>
  <si>
    <r>
      <rPr>
        <sz val="11"/>
        <color theme="1"/>
        <rFont val="Noto Sans CJK SC"/>
        <family val="2"/>
      </rPr>
      <t xml:space="preserve">스킬 계수 — 등급</t>
    </r>
    <r>
      <rPr>
        <sz val="11"/>
        <color theme="1"/>
        <rFont val="Calibri"/>
        <family val="2"/>
        <charset val="1"/>
      </rPr>
      <t xml:space="preserve">1 (</t>
    </r>
    <r>
      <rPr>
        <sz val="11"/>
        <color theme="1"/>
        <rFont val="Noto Sans CJK SC"/>
        <family val="2"/>
      </rPr>
      <t xml:space="preserve">등급 전환마다 신규 스킬셋 해금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등급당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복리</t>
    </r>
    <r>
      <rPr>
        <sz val="11"/>
        <color theme="1"/>
        <rFont val="Calibri"/>
        <family val="2"/>
        <charset val="1"/>
      </rPr>
      <t xml:space="preserve">)</t>
    </r>
  </si>
  <si>
    <t xml:space="preserve">등급당 성장률</t>
  </si>
  <si>
    <r>
      <rPr>
        <sz val="11"/>
        <color theme="1"/>
        <rFont val="Noto Sans CJK SC"/>
        <family val="2"/>
      </rPr>
      <t xml:space="preserve">지능배율 공식</t>
    </r>
    <r>
      <rPr>
        <sz val="11"/>
        <color theme="1"/>
        <rFont val="Calibri"/>
        <family val="2"/>
        <charset val="1"/>
      </rPr>
      <t xml:space="preserve">: 1 + </t>
    </r>
    <r>
      <rPr>
        <sz val="11"/>
        <color theme="1"/>
        <rFont val="Noto Sans CJK SC"/>
        <family val="2"/>
      </rPr>
      <t xml:space="preserve">지능</t>
    </r>
    <r>
      <rPr>
        <sz val="11"/>
        <color theme="1"/>
        <rFont val="Calibri"/>
        <family val="2"/>
        <charset val="1"/>
      </rPr>
      <t xml:space="preserve">/D12</t>
    </r>
  </si>
  <si>
    <t xml:space="preserve">명중률 기본값</t>
  </si>
  <si>
    <t xml:space="preserve">명중률 최대 가산폭</t>
  </si>
  <si>
    <r>
      <rPr>
        <sz val="11"/>
        <color theme="1"/>
        <rFont val="Noto Sans CJK SC"/>
        <family val="2"/>
      </rPr>
      <t xml:space="preserve">명중률 민첩 반감계수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민첩</t>
    </r>
    <r>
      <rPr>
        <sz val="11"/>
        <color theme="1"/>
        <rFont val="Calibri"/>
        <family val="2"/>
        <charset val="1"/>
      </rPr>
      <t xml:space="preserve">/(</t>
    </r>
    <r>
      <rPr>
        <sz val="11"/>
        <color theme="1"/>
        <rFont val="Noto Sans CJK SC"/>
        <family val="2"/>
      </rPr>
      <t xml:space="preserve">민첩</t>
    </r>
    <r>
      <rPr>
        <sz val="11"/>
        <color theme="1"/>
        <rFont val="Calibri"/>
        <family val="2"/>
        <charset val="1"/>
      </rPr>
      <t xml:space="preserve">+D15))</t>
    </r>
  </si>
  <si>
    <t xml:space="preserve">크리확률 기본값</t>
  </si>
  <si>
    <t xml:space="preserve">크리확률 최대 가산폭</t>
  </si>
  <si>
    <t xml:space="preserve">크리확률 민첩 반감계수</t>
  </si>
  <si>
    <r>
      <rPr>
        <sz val="11"/>
        <color theme="1"/>
        <rFont val="Noto Sans CJK SC"/>
        <family val="2"/>
      </rPr>
      <t xml:space="preserve">크리티컬 피해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룬 없음 기본값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</si>
  <si>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방어 관통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룬 없음 기본값</t>
    </r>
    <r>
      <rPr>
        <sz val="11"/>
        <color theme="1"/>
        <rFont val="Calibri"/>
        <family val="2"/>
        <charset val="1"/>
      </rPr>
      <t xml:space="preserve">)</t>
    </r>
  </si>
  <si>
    <t xml:space="preserve">공격속도 배율 기본 가산폭</t>
  </si>
  <si>
    <t xml:space="preserve">공격속도 민첩 반감계수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</si>
  <si>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히트수 기댓값 계수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강화레벨당</t>
    </r>
    <r>
      <rPr>
        <sz val="11"/>
        <color theme="1"/>
        <rFont val="Calibri"/>
        <family val="2"/>
        <charset val="1"/>
      </rPr>
      <t xml:space="preserve">, 1+</t>
    </r>
    <r>
      <rPr>
        <sz val="11"/>
        <color theme="1"/>
        <rFont val="Noto Sans CJK SC"/>
        <family val="2"/>
      </rPr>
      <t xml:space="preserve">계수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레벨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</si>
  <si>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속성 상성 배율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중립 가정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</si>
  <si>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1F4E78"/>
        <rFont val="Noto Sans CJK SC"/>
        <family val="2"/>
      </rPr>
      <t xml:space="preserve">페이싱 보정 배율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Noto Sans CJK SC"/>
        <family val="2"/>
      </rPr>
      <t xml:space="preserve">랭크별</t>
    </r>
    <r>
      <rPr>
        <b val="true"/>
        <sz val="11"/>
        <color rgb="FF1F4E78"/>
        <rFont val="Arial"/>
        <family val="0"/>
        <charset val="1"/>
      </rPr>
      <t xml:space="preserve">, </t>
    </r>
    <r>
      <rPr>
        <b val="true"/>
        <sz val="11"/>
        <color rgb="FF1F4E78"/>
        <rFont val="Noto Sans CJK SC"/>
        <family val="2"/>
      </rPr>
      <t xml:space="preserve">수동 지정 — 목표 페이싱에 맞춘 역산값</t>
    </r>
    <r>
      <rPr>
        <b val="true"/>
        <sz val="11"/>
        <color rgb="FF1F4E78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</si>
  <si>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</si>
  <si>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</si>
  <si>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</si>
  <si>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</si>
  <si>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</si>
  <si>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</si>
  <si>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</si>
  <si>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</si>
  <si>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배율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</si>
  <si>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배율</t>
    </r>
  </si>
  <si>
    <r>
      <rPr>
        <b val="true"/>
        <sz val="11"/>
        <color rgb="FF1F4E78"/>
        <rFont val="Noto Sans CJK SC"/>
        <family val="2"/>
      </rPr>
      <t xml:space="preserve">스킬 마나 소모 </t>
    </r>
    <r>
      <rPr>
        <b val="true"/>
        <sz val="11"/>
        <color rgb="FF1F4E78"/>
        <rFont val="Arial"/>
        <family val="0"/>
        <charset val="1"/>
      </rPr>
      <t xml:space="preserve">&amp; </t>
    </r>
    <r>
      <rPr>
        <b val="true"/>
        <sz val="11"/>
        <color rgb="FF1F4E78"/>
        <rFont val="Noto Sans CJK SC"/>
        <family val="2"/>
      </rPr>
      <t xml:space="preserve">마나 회복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Noto Sans CJK SC"/>
        <family val="2"/>
      </rPr>
      <t xml:space="preserve">마나풀 대비 </t>
    </r>
    <r>
      <rPr>
        <b val="true"/>
        <sz val="11"/>
        <color rgb="FF1F4E78"/>
        <rFont val="Arial"/>
        <family val="0"/>
        <charset val="1"/>
      </rPr>
      <t xml:space="preserve">%)</t>
    </r>
  </si>
  <si>
    <r>
      <rPr>
        <sz val="11"/>
        <color theme="1"/>
        <rFont val="Noto Sans CJK SC"/>
        <family val="2"/>
      </rPr>
      <t xml:space="preserve">스킬 마나소모율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최대마나 대비 </t>
    </r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</si>
  <si>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마나회복율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최대마나 대비 </t>
    </r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초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</si>
  <si>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1F4E78"/>
        <rFont val="Noto Sans CJK SC"/>
        <family val="2"/>
      </rPr>
      <t xml:space="preserve">부품 기여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Noto Sans CJK SC"/>
        <family val="2"/>
      </rPr>
      <t xml:space="preserve">등급별 기본치 </t>
    </r>
    <r>
      <rPr>
        <b val="true"/>
        <sz val="11"/>
        <color rgb="FF1F4E78"/>
        <rFont val="Arial"/>
        <family val="0"/>
        <charset val="1"/>
      </rPr>
      <t xml:space="preserve">× </t>
    </r>
    <r>
      <rPr>
        <b val="true"/>
        <sz val="11"/>
        <color rgb="FF1F4E78"/>
        <rFont val="Noto Sans CJK SC"/>
        <family val="2"/>
      </rPr>
      <t xml:space="preserve">강화 성장</t>
    </r>
    <r>
      <rPr>
        <b val="true"/>
        <sz val="11"/>
        <color rgb="FF1F4E78"/>
        <rFont val="Arial"/>
        <family val="0"/>
        <charset val="1"/>
      </rPr>
      <t xml:space="preserve">, </t>
    </r>
    <r>
      <rPr>
        <b val="true"/>
        <sz val="11"/>
        <color rgb="FF1F4E78"/>
        <rFont val="Noto Sans CJK SC"/>
        <family val="2"/>
      </rPr>
      <t xml:space="preserve">랭크별 가정 강화수준</t>
    </r>
    <r>
      <rPr>
        <b val="true"/>
        <sz val="11"/>
        <color rgb="FF1F4E78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</si>
  <si>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부품 기본치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강</t>
    </r>
    <r>
      <rPr>
        <sz val="11"/>
        <color theme="1"/>
        <rFont val="Calibri"/>
        <family val="2"/>
        <charset val="1"/>
      </rPr>
      <t xml:space="preserve">)</t>
    </r>
  </si>
  <si>
    <t xml:space="preserve">등급별 기본치 성장 배율</t>
  </si>
  <si>
    <r>
      <rPr>
        <sz val="11"/>
        <color theme="1"/>
        <rFont val="Noto Sans CJK SC"/>
        <family val="2"/>
      </rPr>
      <t xml:space="preserve">강화당 성장률 </t>
    </r>
    <r>
      <rPr>
        <sz val="11"/>
        <color theme="1"/>
        <rFont val="Calibri"/>
        <family val="2"/>
        <charset val="1"/>
      </rPr>
      <t xml:space="preserve">(%, </t>
    </r>
    <r>
      <rPr>
        <sz val="11"/>
        <color theme="1"/>
        <rFont val="Noto Sans CJK SC"/>
        <family val="2"/>
      </rPr>
      <t xml:space="preserve">복리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최대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강</t>
    </r>
    <r>
      <rPr>
        <sz val="11"/>
        <color theme="1"/>
        <rFont val="Calibri"/>
        <family val="2"/>
        <charset val="1"/>
      </rPr>
      <t xml:space="preserve">)</t>
    </r>
  </si>
  <si>
    <t xml:space="preserve">가정 강화레벨 — 등급 첫 랭크</t>
  </si>
  <si>
    <t xml:space="preserve">가정 강화레벨 — 등급 둘째 랭크</t>
  </si>
  <si>
    <r>
      <rPr>
        <b val="true"/>
        <sz val="11"/>
        <color rgb="FF1F4E78"/>
        <rFont val="Noto Sans CJK SC"/>
        <family val="2"/>
      </rPr>
      <t xml:space="preserve">룬 기여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Noto Sans CJK SC"/>
        <family val="2"/>
      </rPr>
      <t xml:space="preserve">랭크</t>
    </r>
    <r>
      <rPr>
        <b val="true"/>
        <sz val="11"/>
        <color rgb="FF1F4E78"/>
        <rFont val="Arial"/>
        <family val="0"/>
        <charset val="1"/>
      </rPr>
      <t xml:space="preserve">6+ </t>
    </r>
    <r>
      <rPr>
        <b val="true"/>
        <sz val="11"/>
        <color rgb="FF1F4E78"/>
        <rFont val="Noto Sans CJK SC"/>
        <family val="2"/>
      </rPr>
      <t xml:space="preserve">해금</t>
    </r>
    <r>
      <rPr>
        <b val="true"/>
        <sz val="11"/>
        <color rgb="FF1F4E78"/>
        <rFont val="Arial"/>
        <family val="0"/>
        <charset val="1"/>
      </rPr>
      <t xml:space="preserve">, </t>
    </r>
    <r>
      <rPr>
        <b val="true"/>
        <sz val="11"/>
        <color rgb="FF1F4E78"/>
        <rFont val="Noto Sans CJK SC"/>
        <family val="2"/>
      </rPr>
      <t xml:space="preserve">등급별 접근 가능 희귀도의 기댓값 </t>
    </r>
    <r>
      <rPr>
        <b val="true"/>
        <sz val="11"/>
        <color rgb="FF1F4E78"/>
        <rFont val="Arial"/>
        <family val="0"/>
        <charset val="1"/>
      </rPr>
      <t xml:space="preserve">%)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</si>
  <si>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룬 기댓값 보너스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</si>
  <si>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룬 기댓값 보너스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</si>
  <si>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룬 기댓값 보너스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</si>
  <si>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룬 기댓값 보너스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</si>
  <si>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룬 기댓값 보너스</t>
    </r>
    <r>
      <rPr>
        <sz val="11"/>
        <color theme="1"/>
        <rFont val="Calibri"/>
        <family val="2"/>
        <charset val="1"/>
      </rPr>
      <t xml:space="preserve">(%)</t>
    </r>
  </si>
  <si>
    <r>
      <rPr>
        <i val="true"/>
        <sz val="9"/>
        <color rgb="FF808080"/>
        <rFont val="Noto Sans CJK SC"/>
        <family val="2"/>
      </rPr>
      <t xml:space="preserve">※ 명중률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크리확률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공격속도는 스탯이 무한히 커져도 특정 상한에 수렴하는 점감형 공식</t>
    </r>
    <r>
      <rPr>
        <i val="true"/>
        <sz val="9"/>
        <color rgb="FF808080"/>
        <rFont val="Arial"/>
        <family val="0"/>
        <charset val="1"/>
      </rPr>
      <t xml:space="preserve">(X/(X+</t>
    </r>
    <r>
      <rPr>
        <i val="true"/>
        <sz val="9"/>
        <color rgb="FF808080"/>
        <rFont val="Noto Sans CJK SC"/>
        <family val="2"/>
      </rPr>
      <t xml:space="preserve">상수</t>
    </r>
    <r>
      <rPr>
        <i val="true"/>
        <sz val="9"/>
        <color rgb="FF808080"/>
        <rFont val="Arial"/>
        <family val="0"/>
        <charset val="1"/>
      </rPr>
      <t xml:space="preserve">))</t>
    </r>
    <r>
      <rPr>
        <i val="true"/>
        <sz val="9"/>
        <color rgb="FF808080"/>
        <rFont val="Noto Sans CJK SC"/>
        <family val="2"/>
      </rPr>
      <t xml:space="preserve">을 썼습니다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주문력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지능은 반대로 상한 없이 곱연산으로 커지도록 뒀는데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이게 방치형 장르의 폭발적 후반 성장과 맞습니다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크리피해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방어관통은 룬 각인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랭크</t>
    </r>
    <r>
      <rPr>
        <i val="true"/>
        <sz val="9"/>
        <color rgb="FF808080"/>
        <rFont val="Arial"/>
        <family val="0"/>
        <charset val="1"/>
      </rPr>
      <t xml:space="preserve">6+) </t>
    </r>
    <r>
      <rPr>
        <i val="true"/>
        <sz val="9"/>
        <color rgb="FF808080"/>
        <rFont val="Noto Sans CJK SC"/>
        <family val="2"/>
      </rPr>
      <t xml:space="preserve">반영 전 기본값이라 랭크</t>
    </r>
    <r>
      <rPr>
        <i val="true"/>
        <sz val="9"/>
        <color rgb="FF808080"/>
        <rFont val="Arial"/>
        <family val="0"/>
        <charset val="1"/>
      </rPr>
      <t xml:space="preserve">6 </t>
    </r>
    <r>
      <rPr>
        <i val="true"/>
        <sz val="9"/>
        <color rgb="FF808080"/>
        <rFont val="Noto Sans CJK SC"/>
        <family val="2"/>
      </rPr>
      <t xml:space="preserve">이후 실제로는 이보다 높아집니다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자동화 배율은 공식으로 도출한 값이 아니라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목표 플레이타임</t>
    </r>
    <r>
      <rPr>
        <i val="true"/>
        <sz val="9"/>
        <color rgb="FF808080"/>
        <rFont val="Arial"/>
        <family val="0"/>
        <charset val="1"/>
      </rPr>
      <t xml:space="preserve">(1~2</t>
    </r>
    <r>
      <rPr>
        <i val="true"/>
        <sz val="9"/>
        <color rgb="FF808080"/>
        <rFont val="Noto Sans CJK SC"/>
        <family val="2"/>
      </rPr>
      <t xml:space="preserve">주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등급마다 완만한 증가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에 맞춰 역산한 수동 지정값입니다 — 등급 진입 직후는 항상 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숨 고르기</t>
    </r>
    <r>
      <rPr>
        <i val="true"/>
        <sz val="9"/>
        <color rgb="FF808080"/>
        <rFont val="Arial"/>
        <family val="0"/>
        <charset val="1"/>
      </rPr>
      <t xml:space="preserve">' </t>
    </r>
    <r>
      <rPr>
        <i val="true"/>
        <sz val="9"/>
        <color rgb="FF808080"/>
        <rFont val="Noto Sans CJK SC"/>
        <family val="2"/>
      </rPr>
      <t xml:space="preserve">구간이 생기는 게 이 트리 구조상 자연스러운 현상이라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완벽한 등차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등비 곡선 대신 콘텐츠 언락 시점에 맞춰 계단식으로 배치했습니다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마나소모는 고정값이 아니라 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최대마나 대비 </t>
    </r>
    <r>
      <rPr>
        <i val="true"/>
        <sz val="9"/>
        <color rgb="FF808080"/>
        <rFont val="Arial"/>
        <family val="0"/>
        <charset val="1"/>
      </rPr>
      <t xml:space="preserve">%'</t>
    </r>
    <r>
      <rPr>
        <i val="true"/>
        <sz val="9"/>
        <color rgb="FF808080"/>
        <rFont val="Noto Sans CJK SC"/>
        <family val="2"/>
      </rPr>
      <t xml:space="preserve">로 설계했습니다 — 이러면 스탯이 아무리 커져도 소모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회복 비율에서 스탯 크기가 상쇄되어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가동률은 오직 공격속도가 상한</t>
    </r>
    <r>
      <rPr>
        <i val="true"/>
        <sz val="9"/>
        <color rgb="FF808080"/>
        <rFont val="Arial"/>
        <family val="0"/>
        <charset val="1"/>
      </rPr>
      <t xml:space="preserve">(3</t>
    </r>
    <r>
      <rPr>
        <i val="true"/>
        <sz val="9"/>
        <color rgb="FF808080"/>
        <rFont val="Noto Sans CJK SC"/>
        <family val="2"/>
      </rPr>
      <t xml:space="preserve">배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에 얼마나 가까운지로만 결정됩니다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초반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공속 낮음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엔 가동률 </t>
    </r>
    <r>
      <rPr>
        <i val="true"/>
        <sz val="9"/>
        <color rgb="FF808080"/>
        <rFont val="Arial"/>
        <family val="0"/>
        <charset val="1"/>
      </rPr>
      <t xml:space="preserve">100%</t>
    </r>
    <r>
      <rPr>
        <i val="true"/>
        <sz val="9"/>
        <color rgb="FF808080"/>
        <rFont val="Noto Sans CJK SC"/>
        <family val="2"/>
      </rPr>
      <t xml:space="preserve">로 마나 걱정이 없다가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공속이 상한에 가까워지는 후반부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랭크</t>
    </r>
    <r>
      <rPr>
        <i val="true"/>
        <sz val="9"/>
        <color rgb="FF808080"/>
        <rFont val="Arial"/>
        <family val="0"/>
        <charset val="1"/>
      </rPr>
      <t xml:space="preserve">6+)</t>
    </r>
    <r>
      <rPr>
        <i val="true"/>
        <sz val="9"/>
        <color rgb="FF808080"/>
        <rFont val="Noto Sans CJK SC"/>
        <family val="2"/>
      </rPr>
      <t xml:space="preserve">엔 가동률이 약 </t>
    </r>
    <r>
      <rPr>
        <i val="true"/>
        <sz val="9"/>
        <color rgb="FF808080"/>
        <rFont val="Arial"/>
        <family val="0"/>
        <charset val="1"/>
      </rPr>
      <t xml:space="preserve">67~70%</t>
    </r>
    <r>
      <rPr>
        <i val="true"/>
        <sz val="9"/>
        <color rgb="FF808080"/>
        <rFont val="Noto Sans CJK SC"/>
        <family val="2"/>
      </rPr>
      <t xml:space="preserve">에서 영원히 고정됩니다 — 마나회복 스탯이 게임 끝까지 죽지 않는 장치입니다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부품 기여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등급별 기본치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</rPr>
      <t xml:space="preserve">강화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와 룬 기댓값 보너스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랭크</t>
    </r>
    <r>
      <rPr>
        <i val="true"/>
        <sz val="9"/>
        <color rgb="FF808080"/>
        <rFont val="Arial"/>
        <family val="0"/>
        <charset val="1"/>
      </rPr>
      <t xml:space="preserve">6+)</t>
    </r>
    <r>
      <rPr>
        <i val="true"/>
        <sz val="9"/>
        <color rgb="FF808080"/>
        <rFont val="Noto Sans CJK SC"/>
        <family val="2"/>
      </rPr>
      <t xml:space="preserve">도 최종 스탯에 합산됩니다 — 부품은 초반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랭크</t>
    </r>
    <r>
      <rPr>
        <i val="true"/>
        <sz val="9"/>
        <color rgb="FF808080"/>
        <rFont val="Arial"/>
        <family val="0"/>
        <charset val="1"/>
      </rPr>
      <t xml:space="preserve">1)</t>
    </r>
    <r>
      <rPr>
        <i val="true"/>
        <sz val="9"/>
        <color rgb="FF808080"/>
        <rFont val="Noto Sans CJK SC"/>
        <family val="2"/>
      </rPr>
      <t xml:space="preserve">에 상대적으로 큰 비중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트리 스탯 대비 최대 </t>
    </r>
    <r>
      <rPr>
        <i val="true"/>
        <sz val="9"/>
        <color rgb="FF808080"/>
        <rFont val="Arial"/>
        <family val="0"/>
        <charset val="1"/>
      </rPr>
      <t xml:space="preserve">+70%</t>
    </r>
    <r>
      <rPr>
        <i val="true"/>
        <sz val="9"/>
        <color rgb="FF808080"/>
        <rFont val="Noto Sans CJK SC"/>
        <family val="2"/>
      </rPr>
      <t xml:space="preserve">대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을 차지하다가 후반으로 갈수록 트리가 압도하며 비중이 줄어듭니다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</si>
  <si>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참조 데이터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몬스터 스탯 </t>
    </r>
    <r>
      <rPr>
        <b val="true"/>
        <sz val="14"/>
        <rFont val="Arial"/>
        <family val="0"/>
        <charset val="1"/>
      </rPr>
      <t xml:space="preserve">/ </t>
    </r>
    <r>
      <rPr>
        <b val="true"/>
        <sz val="14"/>
        <rFont val="Noto Sans CJK SC"/>
        <family val="2"/>
      </rPr>
      <t xml:space="preserve">트리 비용 워크북에서 가져온 값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</si>
  <si>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※ 두 워크북이 갱신되면 이 표도 수동으로 다시 채워야 합니다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라이브 연결 아님</t>
    </r>
    <r>
      <rPr>
        <i val="true"/>
        <sz val="9"/>
        <color rgb="FF808080"/>
        <rFont val="Arial"/>
        <family val="0"/>
        <charset val="1"/>
      </rPr>
      <t xml:space="preserve">).</t>
    </r>
  </si>
  <si>
    <t xml:space="preserve">랭크</t>
  </si>
  <si>
    <t xml:space="preserve">등급</t>
  </si>
  <si>
    <r>
      <rPr>
        <b val="true"/>
        <sz val="11"/>
        <color rgb="FFFFFFFF"/>
        <rFont val="Noto Sans CJK SC"/>
        <family val="2"/>
      </rPr>
      <t xml:space="preserve">랭크 끝까지 누적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강비용 합</t>
    </r>
  </si>
  <si>
    <r>
      <rPr>
        <b val="true"/>
        <sz val="11"/>
        <color rgb="FFFFFFFF"/>
        <rFont val="Noto Sans CJK SC"/>
        <family val="2"/>
      </rPr>
      <t xml:space="preserve">이 랭크만의 순수 소모 마석</t>
    </r>
    <r>
      <rPr>
        <b val="true"/>
        <sz val="11"/>
        <color rgb="FFFFFFFF"/>
        <rFont val="Arial"/>
        <family val="0"/>
        <charset val="1"/>
      </rPr>
      <t xml:space="preserve">(1</t>
    </r>
    <r>
      <rPr>
        <b val="true"/>
        <sz val="11"/>
        <color rgb="FFFFFFFF"/>
        <rFont val="Noto Sans CJK SC"/>
        <family val="2"/>
      </rPr>
      <t xml:space="preserve">강기준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</si>
  <si>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파밍 타겟 몬스터</t>
  </si>
  <si>
    <r>
      <rPr>
        <b val="true"/>
        <sz val="11"/>
        <color rgb="FFFFFFFF"/>
        <rFont val="Noto Sans CJK SC"/>
        <family val="2"/>
      </rPr>
      <t xml:space="preserve">타겟 </t>
    </r>
    <r>
      <rPr>
        <b val="true"/>
        <sz val="11"/>
        <color rgb="FFFFFFFF"/>
        <rFont val="Arial"/>
        <family val="0"/>
        <charset val="1"/>
      </rPr>
      <t xml:space="preserve">HP</t>
    </r>
  </si>
  <si>
    <t xml:space="preserve">타겟 방어력</t>
  </si>
  <si>
    <r>
      <rPr>
        <b val="true"/>
        <sz val="11"/>
        <color rgb="FFFFFFFF"/>
        <rFont val="Noto Sans CJK SC"/>
        <family val="2"/>
      </rPr>
      <t xml:space="preserve">등급 시작 </t>
    </r>
    <r>
      <rPr>
        <b val="true"/>
        <sz val="11"/>
        <color rgb="FFFFFFFF"/>
        <rFont val="Arial"/>
        <family val="0"/>
        <charset val="1"/>
      </rPr>
      <t xml:space="preserve">HP(</t>
    </r>
    <r>
      <rPr>
        <b val="true"/>
        <sz val="11"/>
        <color rgb="FFFFFFFF"/>
        <rFont val="Noto Sans CJK SC"/>
        <family val="2"/>
      </rPr>
      <t xml:space="preserve">효율 앵커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</si>
  <si>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등급 시작 드랍최대치</t>
  </si>
  <si>
    <r>
      <rPr>
        <sz val="11"/>
        <color rgb="FF000000"/>
        <rFont val="Noto Sans CJK SC"/>
        <family val="2"/>
      </rPr>
      <t xml:space="preserve">티어</t>
    </r>
    <r>
      <rPr>
        <sz val="11"/>
        <color rgb="FF000000"/>
        <rFont val="Arial"/>
        <family val="0"/>
        <charset val="1"/>
      </rPr>
      <t xml:space="preserve">5 (</t>
    </r>
    <r>
      <rPr>
        <sz val="11"/>
        <color rgb="FF000000"/>
        <rFont val="Noto Sans CJK SC"/>
        <family val="2"/>
      </rPr>
      <t xml:space="preserve">보스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</si>
  <si>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티어</t>
    </r>
    <r>
      <rPr>
        <sz val="11"/>
        <color rgb="FF000000"/>
        <rFont val="Arial"/>
        <family val="0"/>
        <charset val="1"/>
      </rPr>
      <t xml:space="preserve">10 (</t>
    </r>
    <r>
      <rPr>
        <sz val="11"/>
        <color rgb="FF000000"/>
        <rFont val="Noto Sans CJK SC"/>
        <family val="2"/>
      </rPr>
      <t xml:space="preserve">보스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</si>
  <si>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티어</t>
    </r>
    <r>
      <rPr>
        <sz val="11"/>
        <color rgb="FF000000"/>
        <rFont val="Arial"/>
        <family val="0"/>
        <charset val="1"/>
      </rPr>
      <t xml:space="preserve">14 (</t>
    </r>
    <r>
      <rPr>
        <sz val="11"/>
        <color rgb="FF000000"/>
        <rFont val="Noto Sans CJK SC"/>
        <family val="2"/>
      </rPr>
      <t xml:space="preserve">일반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</si>
  <si>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티어</t>
    </r>
    <r>
      <rPr>
        <sz val="11"/>
        <color rgb="FF000000"/>
        <rFont val="Arial"/>
        <family val="0"/>
        <charset val="1"/>
      </rPr>
      <t xml:space="preserve">18 (</t>
    </r>
    <r>
      <rPr>
        <sz val="11"/>
        <color rgb="FF000000"/>
        <rFont val="Noto Sans CJK SC"/>
        <family val="2"/>
      </rPr>
      <t xml:space="preserve">일반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</si>
  <si>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티어</t>
    </r>
    <r>
      <rPr>
        <sz val="11"/>
        <color rgb="FF000000"/>
        <rFont val="Arial"/>
        <family val="0"/>
        <charset val="1"/>
      </rPr>
      <t xml:space="preserve">22 (</t>
    </r>
    <r>
      <rPr>
        <sz val="11"/>
        <color rgb="FF000000"/>
        <rFont val="Noto Sans CJK SC"/>
        <family val="2"/>
      </rPr>
      <t xml:space="preserve">일반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</si>
  <si>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랭크별 누적 스탯 → </t>
    </r>
    <r>
      <rPr>
        <b val="true"/>
        <sz val="14"/>
        <rFont val="Arial"/>
        <family val="0"/>
        <charset val="1"/>
      </rPr>
      <t xml:space="preserve">DPS → TTK</t>
    </r>
  </si>
  <si>
    <t xml:space="preserve">트리 스탯</t>
  </si>
  <si>
    <t xml:space="preserve">부품 스탯</t>
  </si>
  <si>
    <r>
      <rPr>
        <b val="true"/>
        <sz val="11"/>
        <color rgb="FFFFFFFF"/>
        <rFont val="Noto Sans CJK SC"/>
        <family val="2"/>
      </rPr>
      <t xml:space="preserve">룬 기댓값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</si>
  <si>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최종 스탯</t>
  </si>
  <si>
    <t xml:space="preserve">지능배율</t>
  </si>
  <si>
    <t xml:space="preserve">명중률</t>
  </si>
  <si>
    <t xml:space="preserve">크리확률</t>
  </si>
  <si>
    <r>
      <rPr>
        <b val="true"/>
        <sz val="11"/>
        <color rgb="FFFFFFFF"/>
        <rFont val="Noto Sans CJK SC"/>
        <family val="2"/>
      </rPr>
      <t xml:space="preserve">공격속도배율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</si>
  <si>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스킬마나소모</t>
  </si>
  <si>
    <t xml:space="preserve">초당마나회복</t>
  </si>
  <si>
    <t xml:space="preserve">가동률</t>
  </si>
  <si>
    <t xml:space="preserve">실효공격속도</t>
  </si>
  <si>
    <t xml:space="preserve">히트당 데미지</t>
  </si>
  <si>
    <t xml:space="preserve">DPS</t>
  </si>
  <si>
    <r>
      <rPr>
        <b val="true"/>
        <sz val="11"/>
        <color rgb="FFFFFFFF"/>
        <rFont val="Arial"/>
        <family val="0"/>
        <charset val="1"/>
      </rPr>
      <t xml:space="preserve">TTK(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, 1</t>
    </r>
    <r>
      <rPr>
        <b val="true"/>
        <sz val="11"/>
        <color rgb="FFFFFFFF"/>
        <rFont val="Noto Sans CJK SC"/>
        <family val="2"/>
      </rPr>
      <t xml:space="preserve">마리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</si>
  <si>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효율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마석</t>
    </r>
    <r>
      <rPr>
        <b val="true"/>
        <sz val="11"/>
        <color rgb="FFFFFFFF"/>
        <rFont val="Arial"/>
        <family val="0"/>
        <charset val="1"/>
      </rPr>
      <t xml:space="preserve">/HP)</t>
    </r>
  </si>
  <si>
    <t xml:space="preserve">페이싱보정배율</t>
  </si>
  <si>
    <r>
      <rPr>
        <b val="true"/>
        <sz val="11"/>
        <color rgb="FFFFFFFF"/>
        <rFont val="Noto Sans CJK SC"/>
        <family val="2"/>
      </rPr>
      <t xml:space="preserve">순수소모마석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노드</t>
    </r>
    <r>
      <rPr>
        <b val="true"/>
        <sz val="11"/>
        <color rgb="FFFFFFFF"/>
        <rFont val="Arial"/>
        <family val="0"/>
        <charset val="1"/>
      </rPr>
      <t xml:space="preserve">×</t>
    </r>
    <r>
      <rPr>
        <b val="true"/>
        <sz val="11"/>
        <color rgb="FFFFFFFF"/>
        <rFont val="Noto Sans CJK SC"/>
        <family val="2"/>
      </rPr>
      <t xml:space="preserve">강화 반영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</si>
  <si>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소요시간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</si>
  <si>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해석</t>
    </r>
    <r>
      <rPr>
        <i val="true"/>
        <sz val="9"/>
        <color rgb="FF808080"/>
        <rFont val="Arial"/>
        <family val="0"/>
        <charset val="1"/>
      </rPr>
      <t xml:space="preserve">: V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소요시간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이 이 시트의 핵심 결과입니다</t>
    </r>
    <r>
      <rPr>
        <i val="true"/>
        <sz val="9"/>
        <color rgb="FF808080"/>
        <rFont val="Arial"/>
        <family val="0"/>
        <charset val="1"/>
      </rPr>
      <t xml:space="preserve">. F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최종 스탯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트리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</rPr>
      <t xml:space="preserve">부품 합산에 룬 기댓값을 곱한 값입니다</t>
    </r>
    <r>
      <rPr>
        <i val="true"/>
        <sz val="9"/>
        <color rgb="FF808080"/>
        <rFont val="Arial"/>
        <family val="0"/>
        <charset val="1"/>
      </rPr>
      <t xml:space="preserve">. D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부품 스탯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랭크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에서 트리 스탯 대비 비중이 가장 크고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최대 </t>
    </r>
    <r>
      <rPr>
        <i val="true"/>
        <sz val="9"/>
        <color rgb="FF808080"/>
        <rFont val="Arial"/>
        <family val="0"/>
        <charset val="1"/>
      </rPr>
      <t xml:space="preserve">+70%</t>
    </r>
    <r>
      <rPr>
        <i val="true"/>
        <sz val="9"/>
        <color rgb="FF808080"/>
        <rFont val="Noto Sans CJK SC"/>
        <family val="2"/>
      </rPr>
      <t xml:space="preserve">대</t>
    </r>
    <r>
      <rPr>
        <i val="true"/>
        <sz val="9"/>
        <color rgb="FF808080"/>
        <rFont val="Arial"/>
        <family val="0"/>
        <charset val="1"/>
      </rPr>
      <t xml:space="preserve">), </t>
    </r>
    <r>
      <rPr>
        <i val="true"/>
        <sz val="9"/>
        <color rgb="FF808080"/>
        <rFont val="Noto Sans CJK SC"/>
        <family val="2"/>
      </rPr>
      <t xml:space="preserve">후반으로 갈수록 트리가 압도하며 비중이 줄어듭니다</t>
    </r>
    <r>
      <rPr>
        <i val="true"/>
        <sz val="9"/>
        <color rgb="FF808080"/>
        <rFont val="Arial"/>
        <family val="0"/>
        <charset val="1"/>
      </rPr>
      <t xml:space="preserve">. E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룬 기댓값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랭크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Noto Sans CJK SC"/>
        <family val="2"/>
      </rPr>
      <t xml:space="preserve">부터 반영되며 랭크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</rPr>
      <t xml:space="preserve">에 약 </t>
    </r>
    <r>
      <rPr>
        <i val="true"/>
        <sz val="9"/>
        <color rgb="FF808080"/>
        <rFont val="Arial"/>
        <family val="0"/>
        <charset val="1"/>
      </rPr>
      <t xml:space="preserve">12.8%</t>
    </r>
    <r>
      <rPr>
        <i val="true"/>
        <sz val="9"/>
        <color rgb="FF808080"/>
        <rFont val="Noto Sans CJK SC"/>
        <family val="2"/>
      </rPr>
      <t xml:space="preserve">까지 커집니다</t>
    </r>
    <r>
      <rPr>
        <i val="true"/>
        <sz val="9"/>
        <color rgb="FF808080"/>
        <rFont val="Arial"/>
        <family val="0"/>
        <charset val="1"/>
      </rPr>
      <t xml:space="preserve">. M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가동률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초반 </t>
    </r>
    <r>
      <rPr>
        <i val="true"/>
        <sz val="9"/>
        <color rgb="FF808080"/>
        <rFont val="Arial"/>
        <family val="0"/>
        <charset val="1"/>
      </rPr>
      <t xml:space="preserve">100%</t>
    </r>
    <r>
      <rPr>
        <i val="true"/>
        <sz val="9"/>
        <color rgb="FF808080"/>
        <rFont val="Noto Sans CJK SC"/>
        <family val="2"/>
      </rPr>
      <t xml:space="preserve">였다가 후반부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랭크</t>
    </r>
    <r>
      <rPr>
        <i val="true"/>
        <sz val="9"/>
        <color rgb="FF808080"/>
        <rFont val="Arial"/>
        <family val="0"/>
        <charset val="1"/>
      </rPr>
      <t xml:space="preserve">6+)</t>
    </r>
    <r>
      <rPr>
        <i val="true"/>
        <sz val="9"/>
        <color rgb="FF808080"/>
        <rFont val="Noto Sans CJK SC"/>
        <family val="2"/>
      </rPr>
      <t xml:space="preserve">엔 약 </t>
    </r>
    <r>
      <rPr>
        <i val="true"/>
        <sz val="9"/>
        <color rgb="FF808080"/>
        <rFont val="Arial"/>
        <family val="0"/>
        <charset val="1"/>
      </rPr>
      <t xml:space="preserve">67~70%</t>
    </r>
    <r>
      <rPr>
        <i val="true"/>
        <sz val="9"/>
        <color rgb="FF808080"/>
        <rFont val="Noto Sans CJK SC"/>
        <family val="2"/>
      </rPr>
      <t xml:space="preserve">에서 영원히 고정됩니다</t>
    </r>
    <r>
      <rPr>
        <i val="true"/>
        <sz val="9"/>
        <color rgb="FF808080"/>
        <rFont val="Arial"/>
        <family val="0"/>
        <charset val="1"/>
      </rPr>
      <t xml:space="preserve">. T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페이싱보정배율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랭크별로 직접 지정한 값으로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목표 페이싱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랭크</t>
    </r>
    <r>
      <rPr>
        <i val="true"/>
        <sz val="9"/>
        <color rgb="FF808080"/>
        <rFont val="Arial"/>
        <family val="0"/>
        <charset val="1"/>
      </rPr>
      <t xml:space="preserve">0~3</t>
    </r>
    <r>
      <rPr>
        <i val="true"/>
        <sz val="9"/>
        <color rgb="FF808080"/>
        <rFont val="Noto Sans CJK SC"/>
        <family val="2"/>
      </rPr>
      <t xml:space="preserve">은 </t>
    </r>
    <r>
      <rPr>
        <i val="true"/>
        <sz val="9"/>
        <color rgb="FF808080"/>
        <rFont val="Arial"/>
        <family val="0"/>
        <charset val="1"/>
      </rPr>
      <t xml:space="preserve">2~3</t>
    </r>
    <r>
      <rPr>
        <i val="true"/>
        <sz val="9"/>
        <color rgb="FF808080"/>
        <rFont val="Noto Sans CJK SC"/>
        <family val="2"/>
      </rPr>
      <t xml:space="preserve">시간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이후 점진 감속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총 </t>
    </r>
    <r>
      <rPr>
        <i val="true"/>
        <sz val="9"/>
        <color rgb="FF808080"/>
        <rFont val="Arial"/>
        <family val="0"/>
        <charset val="1"/>
      </rPr>
      <t xml:space="preserve">12</t>
    </r>
    <r>
      <rPr>
        <i val="true"/>
        <sz val="9"/>
        <color rgb="FF808080"/>
        <rFont val="Noto Sans CJK SC"/>
        <family val="2"/>
      </rPr>
      <t xml:space="preserve">일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에 맞춰 역산했습니다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랭크</t>
    </r>
    <r>
      <rPr>
        <i val="true"/>
        <sz val="9"/>
        <color rgb="FF808080"/>
        <rFont val="Arial"/>
        <family val="0"/>
        <charset val="1"/>
      </rPr>
      <t xml:space="preserve">0(2</t>
    </r>
    <r>
      <rPr>
        <i val="true"/>
        <sz val="9"/>
        <color rgb="FF808080"/>
        <rFont val="Noto Sans CJK SC"/>
        <family val="2"/>
      </rPr>
      <t xml:space="preserve">시간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튜토리얼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을 더한 전체 합계는 약 </t>
    </r>
    <r>
      <rPr>
        <i val="true"/>
        <sz val="9"/>
        <color rgb="FF808080"/>
        <rFont val="Arial"/>
        <family val="0"/>
        <charset val="1"/>
      </rPr>
      <t xml:space="preserve">286.8</t>
    </r>
    <r>
      <rPr>
        <i val="true"/>
        <sz val="9"/>
        <color rgb="FF808080"/>
        <rFont val="Noto Sans CJK SC"/>
        <family val="2"/>
      </rPr>
      <t xml:space="preserve">시간</t>
    </r>
    <r>
      <rPr>
        <i val="true"/>
        <sz val="9"/>
        <color rgb="FF808080"/>
        <rFont val="Arial"/>
        <family val="0"/>
        <charset val="1"/>
      </rPr>
      <t xml:space="preserve">(11.95</t>
    </r>
    <r>
      <rPr>
        <i val="true"/>
        <sz val="9"/>
        <color rgb="FF808080"/>
        <rFont val="Noto Sans CJK SC"/>
        <family val="2"/>
      </rPr>
      <t xml:space="preserve">일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입니다</t>
    </r>
    <r>
      <rPr>
        <i val="true"/>
        <sz val="9"/>
        <color rgb="FF808080"/>
        <rFont val="Arial"/>
        <family val="0"/>
        <charset val="1"/>
      </rPr>
      <t xml:space="preserve">. k=0.0252(</t>
    </r>
    <r>
      <rPr>
        <i val="true"/>
        <sz val="9"/>
        <color rgb="FF808080"/>
        <rFont val="Noto Sans CJK SC"/>
        <family val="2"/>
      </rPr>
      <t xml:space="preserve">부품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룬</t>
    </r>
    <r>
      <rPr>
        <i val="true"/>
        <sz val="9"/>
        <color rgb="FF808080"/>
        <rFont val="Arial"/>
        <family val="0"/>
        <charset val="1"/>
      </rPr>
      <t xml:space="preserve">·GPU</t>
    </r>
    <r>
      <rPr>
        <i val="true"/>
        <sz val="9"/>
        <color rgb="FF808080"/>
        <rFont val="Noto Sans CJK SC"/>
        <family val="2"/>
      </rPr>
      <t xml:space="preserve">히트수 전부 반영 후 최종값</t>
    </r>
    <r>
      <rPr>
        <i val="true"/>
        <sz val="9"/>
        <color rgb="FF808080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</si>
</sst>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%"/>
    <numFmt numFmtId="166" formatCode="0.00\x"/>
    <numFmt numFmtId="167" formatCode="0.0%"/>
    <numFmt numFmtId="168" formatCode="#,##0.0"/>
    <numFmt numFmtId="169" formatCode="#,##0"/>
    <numFmt numFmtId="170" formatCode="#,##0.00"/>
    <numFmt numFmtId="171" formatCode="General"/>
    <numFmt numFmtId="172" formatCode="0.00"/>
    <numFmt numFmtId="173" formatCode="0.0"/>
    <numFmt numFmtId="174" formatCode="0.00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  <font>
      <b val="true"/>
      <sz val="11"/>
      <color rgb="FF1F4E78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Arial"/>
      <family val="0"/>
      <charset val="1"/>
    </font>
    <font>
      <i val="true"/>
      <sz val="9"/>
      <color rgb="FF808080"/>
      <name val="Noto Sans CJK SC"/>
      <family val="2"/>
    </font>
    <font>
      <b val="true"/>
      <sz val="11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sz val="11"/>
      <color rgb="FF00800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랭크별 소요시간 (시간)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'랭크별 DPS·TTK'!V3</c:f>
              <c:strCache>
                <c:ptCount val="1"/>
                <c:pt idx="0">
                  <c:v>소요시간(시간)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'랭크별 DPS·TTK'!$A$4:$A$13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'랭크별 DPS·TTK'!$V$4:$V$13</c:f>
              <c:numCache>
                <c:formatCode>0.00</c:formatCode>
                <c:ptCount val="10"/>
                <c:pt idx="0">
                  <c:v>2.54173080899943</c:v>
                </c:pt>
                <c:pt idx="1">
                  <c:v>2.33794066381481</c:v>
                </c:pt>
                <c:pt idx="2">
                  <c:v>1.86708086526679</c:v>
                </c:pt>
                <c:pt idx="3">
                  <c:v>4.43166846407363</c:v>
                </c:pt>
                <c:pt idx="4">
                  <c:v>8.91042117745553</c:v>
                </c:pt>
                <c:pt idx="5">
                  <c:v>14.1463707237786</c:v>
                </c:pt>
                <c:pt idx="6">
                  <c:v>27.1505730949999</c:v>
                </c:pt>
                <c:pt idx="7">
                  <c:v>40.3980907446244</c:v>
                </c:pt>
                <c:pt idx="8">
                  <c:v>58.7523924666855</c:v>
                </c:pt>
                <c:pt idx="9">
                  <c:v>115.675120974576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576777"/>
        <c:axId val="1954149"/>
      </c:lineChart>
      <c:catAx>
        <c:axId val="375767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랭크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4149"/>
        <c:crosses val="autoZero"/>
        <c:auto val="1"/>
        <c:lblAlgn val="ctr"/>
        <c:lblOffset val="100"/>
        <c:noMultiLvlLbl val="0"/>
      </c:catAx>
      <c:valAx>
        <c:axId val="1954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소요시간 (시간)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767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79560</xdr:rowOff>
    </xdr:from>
    <xdr:to>
      <xdr:col>8</xdr:col>
      <xdr:colOff>136080</xdr:colOff>
      <xdr:row>32</xdr:row>
      <xdr:rowOff>80640</xdr:rowOff>
    </xdr:to>
    <xdr:graphicFrame>
      <xdr:nvGraphicFramePr>
        <xdr:cNvPr id="0" name="Chart 1"/>
        <xdr:cNvGraphicFramePr/>
      </xdr:nvGraphicFramePr>
      <xdr:xfrm>
        <a:off x="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"/>
    <col collapsed="false" customWidth="true" hidden="false" outlineLevel="0" max="4" min="4" style="0" width="14"/>
  </cols>
  <sheetData>
    <row r="2" customFormat="false" ht="21.6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/>
    </row>
    <row r="6" customFormat="false" ht="15" hidden="false" customHeight="false" outlineLevel="0" collapsed="false">
      <c r="B6" s="5" t="s">
        <v>3</v>
      </c>
      <c r="D6" s="6" t="n">
        <v>6</v>
      </c>
    </row>
    <row r="7" customFormat="false" ht="17.15" hidden="false" customHeight="false" outlineLevel="0" collapsed="false">
      <c r="B7" s="5" t="s">
        <v>4</v>
      </c>
      <c r="D7" s="6" t="n">
        <v>0.0252</v>
      </c>
    </row>
    <row r="8" customFormat="false" ht="17.15" hidden="false" customHeight="false" outlineLevel="0" collapsed="false">
      <c r="B8" s="5" t="s">
        <v>5</v>
      </c>
      <c r="D8" s="7" t="n">
        <v>0.2</v>
      </c>
    </row>
    <row r="9" customFormat="false" ht="15" hidden="false" customHeight="false" outlineLevel="0" collapsed="false">
      <c r="B9" s="4"/>
      <c r="D9" s="4"/>
    </row>
    <row r="10" customFormat="false" ht="15" hidden="false" customHeight="false" outlineLevel="0" collapsed="false">
      <c r="B10" s="3" t="s">
        <v>6</v>
      </c>
      <c r="D10" s="4"/>
    </row>
    <row r="11" customFormat="false" ht="17.15" hidden="false" customHeight="false" outlineLevel="0" collapsed="false">
      <c r="B11" s="5" t="s">
        <v>7</v>
      </c>
      <c r="D11" s="6" t="n">
        <v>1</v>
      </c>
      <c r="F11" s="8" t="s">
        <v>8</v>
      </c>
      <c r="G11" s="9" t="n">
        <v>0.5</v>
      </c>
    </row>
    <row r="12" customFormat="false" ht="17.15" hidden="false" customHeight="false" outlineLevel="0" collapsed="false">
      <c r="B12" s="5" t="s">
        <v>9</v>
      </c>
      <c r="D12" s="6" t="n">
        <v>100</v>
      </c>
    </row>
    <row r="13" customFormat="false" ht="15" hidden="false" customHeight="false" outlineLevel="0" collapsed="false">
      <c r="B13" s="5" t="s">
        <v>10</v>
      </c>
      <c r="D13" s="7" t="n">
        <v>0.9</v>
      </c>
    </row>
    <row r="14" customFormat="false" ht="15" hidden="false" customHeight="false" outlineLevel="0" collapsed="false">
      <c r="B14" s="5" t="s">
        <v>11</v>
      </c>
      <c r="D14" s="7" t="n">
        <v>0.09</v>
      </c>
    </row>
    <row r="15" customFormat="false" ht="17.15" hidden="false" customHeight="false" outlineLevel="0" collapsed="false">
      <c r="B15" s="5" t="s">
        <v>12</v>
      </c>
      <c r="D15" s="6" t="n">
        <v>200</v>
      </c>
    </row>
    <row r="16" customFormat="false" ht="15" hidden="false" customHeight="false" outlineLevel="0" collapsed="false">
      <c r="B16" s="5" t="s">
        <v>13</v>
      </c>
      <c r="D16" s="7" t="n">
        <v>0.05</v>
      </c>
    </row>
    <row r="17" customFormat="false" ht="15" hidden="false" customHeight="false" outlineLevel="0" collapsed="false">
      <c r="B17" s="5" t="s">
        <v>14</v>
      </c>
      <c r="D17" s="7" t="n">
        <v>0.75</v>
      </c>
    </row>
    <row r="18" customFormat="false" ht="15" hidden="false" customHeight="false" outlineLevel="0" collapsed="false">
      <c r="B18" s="5" t="s">
        <v>15</v>
      </c>
      <c r="D18" s="6" t="n">
        <v>300</v>
      </c>
    </row>
    <row r="19" customFormat="false" ht="17.15" hidden="false" customHeight="false" outlineLevel="0" collapsed="false">
      <c r="B19" s="5" t="s">
        <v>16</v>
      </c>
      <c r="D19" s="7" t="n">
        <v>1.5</v>
      </c>
    </row>
    <row r="20" customFormat="false" ht="17.15" hidden="false" customHeight="false" outlineLevel="0" collapsed="false">
      <c r="B20" s="5" t="s">
        <v>17</v>
      </c>
      <c r="D20" s="7" t="n">
        <v>0</v>
      </c>
    </row>
    <row r="21" customFormat="false" ht="15" hidden="false" customHeight="false" outlineLevel="0" collapsed="false">
      <c r="B21" s="5" t="s">
        <v>18</v>
      </c>
      <c r="D21" s="6" t="n">
        <v>2</v>
      </c>
    </row>
    <row r="22" customFormat="false" ht="15" hidden="false" customHeight="false" outlineLevel="0" collapsed="false">
      <c r="B22" s="5" t="s">
        <v>19</v>
      </c>
      <c r="D22" s="6" t="n">
        <v>400</v>
      </c>
    </row>
    <row r="23" customFormat="false" ht="17.15" hidden="false" customHeight="false" outlineLevel="0" collapsed="false">
      <c r="B23" s="4" t="s">
        <v>20</v>
      </c>
      <c r="D23" s="6" t="n">
        <v>0.02</v>
      </c>
    </row>
    <row r="24" customFormat="false" ht="17.15" hidden="false" customHeight="false" outlineLevel="0" collapsed="false">
      <c r="B24" s="5" t="s">
        <v>21</v>
      </c>
      <c r="D24" s="6" t="n">
        <v>1</v>
      </c>
    </row>
    <row r="25" customFormat="false" ht="15" hidden="false" customHeight="false" outlineLevel="0" collapsed="false">
      <c r="B25" s="4"/>
      <c r="D25" s="4"/>
    </row>
    <row r="26" customFormat="false" ht="17.15" hidden="false" customHeight="false" outlineLevel="0" collapsed="false">
      <c r="B26" s="3" t="s">
        <v>22</v>
      </c>
      <c r="D26" s="4"/>
    </row>
    <row r="27" customFormat="false" ht="17.15" hidden="false" customHeight="false" outlineLevel="0" collapsed="false">
      <c r="B27" s="5" t="s">
        <v>23</v>
      </c>
      <c r="D27" s="10" t="n">
        <v>6.93</v>
      </c>
    </row>
    <row r="28" customFormat="false" ht="17.15" hidden="false" customHeight="false" outlineLevel="0" collapsed="false">
      <c r="B28" s="5" t="s">
        <v>24</v>
      </c>
      <c r="D28" s="10" t="n">
        <v>2.26</v>
      </c>
    </row>
    <row r="29" customFormat="false" ht="17.15" hidden="false" customHeight="false" outlineLevel="0" collapsed="false">
      <c r="B29" s="5" t="s">
        <v>25</v>
      </c>
      <c r="D29" s="10" t="n">
        <v>1</v>
      </c>
    </row>
    <row r="30" customFormat="false" ht="17.15" hidden="false" customHeight="false" outlineLevel="0" collapsed="false">
      <c r="B30" s="5" t="s">
        <v>26</v>
      </c>
      <c r="D30" s="10" t="n">
        <v>1.08</v>
      </c>
    </row>
    <row r="31" customFormat="false" ht="17.15" hidden="false" customHeight="false" outlineLevel="0" collapsed="false">
      <c r="B31" s="5" t="s">
        <v>27</v>
      </c>
      <c r="D31" s="10" t="n">
        <v>1.23</v>
      </c>
    </row>
    <row r="32" customFormat="false" ht="17.15" hidden="false" customHeight="false" outlineLevel="0" collapsed="false">
      <c r="B32" s="5" t="s">
        <v>28</v>
      </c>
      <c r="D32" s="10" t="n">
        <v>1.9</v>
      </c>
    </row>
    <row r="33" customFormat="false" ht="17.15" hidden="false" customHeight="false" outlineLevel="0" collapsed="false">
      <c r="B33" s="5" t="s">
        <v>29</v>
      </c>
      <c r="D33" s="10" t="n">
        <v>1.2</v>
      </c>
    </row>
    <row r="34" customFormat="false" ht="17.15" hidden="false" customHeight="false" outlineLevel="0" collapsed="false">
      <c r="B34" s="5" t="s">
        <v>30</v>
      </c>
      <c r="D34" s="10" t="n">
        <v>4.18</v>
      </c>
    </row>
    <row r="35" customFormat="false" ht="17.15" hidden="false" customHeight="false" outlineLevel="0" collapsed="false">
      <c r="B35" s="5" t="s">
        <v>31</v>
      </c>
      <c r="D35" s="10" t="n">
        <v>6.39</v>
      </c>
    </row>
    <row r="36" customFormat="false" ht="17.15" hidden="false" customHeight="false" outlineLevel="0" collapsed="false">
      <c r="B36" s="5" t="s">
        <v>32</v>
      </c>
      <c r="D36" s="10" t="n">
        <v>34.5</v>
      </c>
    </row>
    <row r="37" customFormat="false" ht="15" hidden="false" customHeight="false" outlineLevel="0" collapsed="false">
      <c r="B37" s="4"/>
      <c r="D37" s="4"/>
    </row>
    <row r="38" customFormat="false" ht="15" hidden="false" customHeight="false" outlineLevel="0" collapsed="false">
      <c r="B38" s="4"/>
      <c r="D38" s="4"/>
    </row>
    <row r="39" customFormat="false" ht="17.15" hidden="false" customHeight="false" outlineLevel="0" collapsed="false">
      <c r="B39" s="3" t="s">
        <v>33</v>
      </c>
      <c r="D39" s="4"/>
    </row>
    <row r="40" customFormat="false" ht="17.15" hidden="false" customHeight="false" outlineLevel="0" collapsed="false">
      <c r="B40" s="5" t="s">
        <v>34</v>
      </c>
      <c r="D40" s="7" t="n">
        <v>0.05</v>
      </c>
    </row>
    <row r="41" customFormat="false" ht="17.15" hidden="false" customHeight="false" outlineLevel="0" collapsed="false">
      <c r="B41" s="5" t="s">
        <v>35</v>
      </c>
      <c r="D41" s="7" t="n">
        <v>0.1</v>
      </c>
    </row>
    <row r="42" customFormat="false" ht="15" hidden="false" customHeight="false" outlineLevel="0" collapsed="false">
      <c r="B42" s="4"/>
      <c r="D42" s="4"/>
    </row>
    <row r="43" customFormat="false" ht="17.15" hidden="false" customHeight="false" outlineLevel="0" collapsed="false">
      <c r="B43" s="3" t="s">
        <v>36</v>
      </c>
      <c r="D43" s="4"/>
    </row>
    <row r="44" customFormat="false" ht="17.15" hidden="false" customHeight="false" outlineLevel="0" collapsed="false">
      <c r="B44" s="5" t="s">
        <v>37</v>
      </c>
      <c r="D44" s="6" t="n">
        <v>10</v>
      </c>
    </row>
    <row r="45" customFormat="false" ht="15" hidden="false" customHeight="false" outlineLevel="0" collapsed="false">
      <c r="B45" s="5" t="s">
        <v>38</v>
      </c>
      <c r="D45" s="6" t="n">
        <v>2.5</v>
      </c>
    </row>
    <row r="46" customFormat="false" ht="17.15" hidden="false" customHeight="false" outlineLevel="0" collapsed="false">
      <c r="B46" s="5" t="s">
        <v>39</v>
      </c>
      <c r="D46" s="7" t="n">
        <v>0.08</v>
      </c>
    </row>
    <row r="47" customFormat="false" ht="15" hidden="false" customHeight="false" outlineLevel="0" collapsed="false">
      <c r="B47" s="5" t="s">
        <v>40</v>
      </c>
      <c r="D47" s="6" t="n">
        <v>8</v>
      </c>
    </row>
    <row r="48" customFormat="false" ht="15" hidden="false" customHeight="false" outlineLevel="0" collapsed="false">
      <c r="B48" s="5" t="s">
        <v>41</v>
      </c>
      <c r="D48" s="6" t="n">
        <v>20</v>
      </c>
    </row>
    <row r="49" customFormat="false" ht="15" hidden="false" customHeight="false" outlineLevel="0" collapsed="false">
      <c r="B49" s="4"/>
      <c r="D49" s="4"/>
    </row>
    <row r="50" customFormat="false" ht="17.15" hidden="false" customHeight="false" outlineLevel="0" collapsed="false">
      <c r="B50" s="3" t="s">
        <v>42</v>
      </c>
      <c r="D50" s="4"/>
    </row>
    <row r="51" customFormat="false" ht="17.15" hidden="false" customHeight="false" outlineLevel="0" collapsed="false">
      <c r="B51" s="5" t="s">
        <v>43</v>
      </c>
      <c r="D51" s="11" t="n">
        <v>0.05</v>
      </c>
    </row>
    <row r="52" customFormat="false" ht="17.15" hidden="false" customHeight="false" outlineLevel="0" collapsed="false">
      <c r="B52" s="5" t="s">
        <v>44</v>
      </c>
      <c r="D52" s="11" t="n">
        <v>0.058</v>
      </c>
    </row>
    <row r="53" customFormat="false" ht="17.15" hidden="false" customHeight="false" outlineLevel="0" collapsed="false">
      <c r="B53" s="5" t="s">
        <v>45</v>
      </c>
      <c r="D53" s="11" t="n">
        <v>0.082</v>
      </c>
    </row>
    <row r="54" customFormat="false" ht="17.15" hidden="false" customHeight="false" outlineLevel="0" collapsed="false">
      <c r="B54" s="5" t="s">
        <v>46</v>
      </c>
      <c r="D54" s="11" t="n">
        <v>0.097</v>
      </c>
    </row>
    <row r="55" customFormat="false" ht="17.15" hidden="false" customHeight="false" outlineLevel="0" collapsed="false">
      <c r="B55" s="5" t="s">
        <v>47</v>
      </c>
      <c r="D55" s="11" t="n">
        <v>0.128</v>
      </c>
    </row>
    <row r="56" customFormat="false" ht="15" hidden="false" customHeight="false" outlineLevel="0" collapsed="false">
      <c r="B56" s="4"/>
      <c r="D56" s="4"/>
    </row>
    <row r="58" customFormat="false" ht="129.75" hidden="false" customHeight="true" outlineLevel="0" collapsed="false">
      <c r="B58" s="1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21.6" hidden="false" customHeight="false" outlineLevel="0" collapsed="false">
      <c r="A1" s="13" t="s">
        <v>49</v>
      </c>
    </row>
    <row r="2" customFormat="false" ht="15" hidden="false" customHeight="false" outlineLevel="0" collapsed="false">
      <c r="A2" s="8" t="s">
        <v>50</v>
      </c>
    </row>
    <row r="4" customFormat="false" ht="17.15" hidden="false" customHeight="false" outlineLevel="0" collapsed="false">
      <c r="A4" s="14" t="s">
        <v>51</v>
      </c>
      <c r="B4" s="14" t="s">
        <v>52</v>
      </c>
      <c r="C4" s="14" t="s">
        <v>53</v>
      </c>
      <c r="D4" s="14" t="s">
        <v>54</v>
      </c>
      <c r="E4" s="14" t="s">
        <v>55</v>
      </c>
      <c r="F4" s="14" t="s">
        <v>56</v>
      </c>
      <c r="G4" s="14" t="s">
        <v>57</v>
      </c>
      <c r="H4" s="14" t="s">
        <v>58</v>
      </c>
      <c r="I4" s="14" t="s">
        <v>59</v>
      </c>
    </row>
    <row r="5" customFormat="false" ht="17.15" hidden="false" customHeight="false" outlineLevel="0" collapsed="false">
      <c r="A5" s="15" t="n">
        <v>1</v>
      </c>
      <c r="B5" s="15" t="n">
        <v>1</v>
      </c>
      <c r="C5" s="16" t="n">
        <v>698.1</v>
      </c>
      <c r="D5" s="16" t="n">
        <v>698.1</v>
      </c>
      <c r="E5" s="17" t="s">
        <v>60</v>
      </c>
      <c r="F5" s="18" t="n">
        <v>253.125</v>
      </c>
      <c r="G5" s="19" t="n">
        <v>7.3205</v>
      </c>
      <c r="H5" s="16" t="n">
        <v>50</v>
      </c>
      <c r="I5" s="16" t="n">
        <v>2</v>
      </c>
    </row>
    <row r="6" customFormat="false" ht="17.15" hidden="false" customHeight="false" outlineLevel="0" collapsed="false">
      <c r="A6" s="15" t="n">
        <v>2</v>
      </c>
      <c r="B6" s="15" t="n">
        <v>1</v>
      </c>
      <c r="C6" s="16" t="n">
        <v>4814</v>
      </c>
      <c r="D6" s="16" t="n">
        <v>4115.9</v>
      </c>
      <c r="E6" s="17" t="s">
        <v>60</v>
      </c>
      <c r="F6" s="18" t="n">
        <v>253.125</v>
      </c>
      <c r="G6" s="19" t="n">
        <v>7.3205</v>
      </c>
      <c r="H6" s="16" t="n">
        <v>50</v>
      </c>
      <c r="I6" s="16" t="n">
        <v>2</v>
      </c>
    </row>
    <row r="7" customFormat="false" ht="17.15" hidden="false" customHeight="false" outlineLevel="0" collapsed="false">
      <c r="A7" s="15" t="n">
        <v>3</v>
      </c>
      <c r="B7" s="15" t="n">
        <v>2</v>
      </c>
      <c r="C7" s="16" t="n">
        <v>5191.1</v>
      </c>
      <c r="D7" s="16" t="n">
        <v>377.1</v>
      </c>
      <c r="E7" s="17" t="s">
        <v>61</v>
      </c>
      <c r="F7" s="18" t="n">
        <v>6075</v>
      </c>
      <c r="G7" s="19" t="n">
        <v>14.0839602784375</v>
      </c>
      <c r="H7" s="16" t="n">
        <v>379.6875</v>
      </c>
      <c r="I7" s="16" t="n">
        <v>3</v>
      </c>
    </row>
    <row r="8" customFormat="false" ht="17.15" hidden="false" customHeight="false" outlineLevel="0" collapsed="false">
      <c r="A8" s="15" t="n">
        <v>4</v>
      </c>
      <c r="B8" s="15" t="n">
        <v>2</v>
      </c>
      <c r="C8" s="16" t="n">
        <v>12151.7</v>
      </c>
      <c r="D8" s="16" t="n">
        <v>6960.6</v>
      </c>
      <c r="E8" s="17" t="s">
        <v>61</v>
      </c>
      <c r="F8" s="18" t="n">
        <v>6075</v>
      </c>
      <c r="G8" s="19" t="n">
        <v>14.0839602784375</v>
      </c>
      <c r="H8" s="16" t="n">
        <v>379.6875</v>
      </c>
      <c r="I8" s="16" t="n">
        <v>3</v>
      </c>
    </row>
    <row r="9" customFormat="false" ht="17.15" hidden="false" customHeight="false" outlineLevel="0" collapsed="false">
      <c r="A9" s="15" t="n">
        <v>5</v>
      </c>
      <c r="B9" s="15" t="n">
        <v>3</v>
      </c>
      <c r="C9" s="16" t="n">
        <v>13081.7</v>
      </c>
      <c r="D9" s="16" t="n">
        <v>930</v>
      </c>
      <c r="E9" s="17" t="s">
        <v>62</v>
      </c>
      <c r="F9" s="18" t="n">
        <v>183768.75</v>
      </c>
      <c r="G9" s="19" t="n">
        <v>26.8214939542564</v>
      </c>
      <c r="H9" s="16" t="n">
        <v>12150</v>
      </c>
      <c r="I9" s="16" t="n">
        <v>4.5</v>
      </c>
    </row>
    <row r="10" customFormat="false" ht="17.15" hidden="false" customHeight="false" outlineLevel="0" collapsed="false">
      <c r="A10" s="15" t="n">
        <v>6</v>
      </c>
      <c r="B10" s="15" t="n">
        <v>3</v>
      </c>
      <c r="C10" s="16" t="n">
        <v>51769.7</v>
      </c>
      <c r="D10" s="16" t="n">
        <v>38688</v>
      </c>
      <c r="E10" s="17" t="s">
        <v>62</v>
      </c>
      <c r="F10" s="18" t="n">
        <v>183768.75</v>
      </c>
      <c r="G10" s="19" t="n">
        <v>26.8214939542564</v>
      </c>
      <c r="H10" s="16" t="n">
        <v>12150</v>
      </c>
      <c r="I10" s="16" t="n">
        <v>4.5</v>
      </c>
    </row>
    <row r="11" customFormat="false" ht="17.15" hidden="false" customHeight="false" outlineLevel="0" collapsed="false">
      <c r="A11" s="15" t="n">
        <v>7</v>
      </c>
      <c r="B11" s="15" t="n">
        <v>4</v>
      </c>
      <c r="C11" s="16" t="n">
        <v>53583</v>
      </c>
      <c r="D11" s="16" t="n">
        <v>1813.3</v>
      </c>
      <c r="E11" s="17" t="s">
        <v>63</v>
      </c>
      <c r="F11" s="18" t="n">
        <v>15287262.890625</v>
      </c>
      <c r="G11" s="19" t="n">
        <v>57.9344269411938</v>
      </c>
      <c r="H11" s="16" t="n">
        <v>505364.0625</v>
      </c>
      <c r="I11" s="16" t="n">
        <v>6.75</v>
      </c>
    </row>
    <row r="12" customFormat="false" ht="17.15" hidden="false" customHeight="false" outlineLevel="0" collapsed="false">
      <c r="A12" s="15" t="n">
        <v>8</v>
      </c>
      <c r="B12" s="15" t="n">
        <v>4</v>
      </c>
      <c r="C12" s="16" t="n">
        <v>189514.8</v>
      </c>
      <c r="D12" s="16" t="n">
        <v>135931.8</v>
      </c>
      <c r="E12" s="17" t="s">
        <v>63</v>
      </c>
      <c r="F12" s="18" t="n">
        <v>15287262.890625</v>
      </c>
      <c r="G12" s="19" t="n">
        <v>57.9344269411938</v>
      </c>
      <c r="H12" s="16" t="n">
        <v>505364.0625</v>
      </c>
      <c r="I12" s="16" t="n">
        <v>6.75</v>
      </c>
    </row>
    <row r="13" customFormat="false" ht="17.15" hidden="false" customHeight="false" outlineLevel="0" collapsed="false">
      <c r="A13" s="15" t="n">
        <v>9</v>
      </c>
      <c r="B13" s="15" t="n">
        <v>5</v>
      </c>
      <c r="C13" s="16" t="n">
        <v>192736.7</v>
      </c>
      <c r="D13" s="16" t="n">
        <v>3221.90000000002</v>
      </c>
      <c r="E13" s="17" t="s">
        <v>64</v>
      </c>
      <c r="F13" s="18" t="n">
        <v>3913539300</v>
      </c>
      <c r="G13" s="19" t="n">
        <v>141.441472024399</v>
      </c>
      <c r="H13" s="16" t="n">
        <v>61149051.5625</v>
      </c>
      <c r="I13" s="16" t="n">
        <v>10.125</v>
      </c>
    </row>
    <row r="14" customFormat="false" ht="17.15" hidden="false" customHeight="false" outlineLevel="0" collapsed="false">
      <c r="A14" s="15" t="n">
        <v>10</v>
      </c>
      <c r="B14" s="15" t="n">
        <v>5</v>
      </c>
      <c r="C14" s="16" t="n">
        <v>601763.8</v>
      </c>
      <c r="D14" s="16" t="n">
        <v>409027.1</v>
      </c>
      <c r="E14" s="17" t="s">
        <v>64</v>
      </c>
      <c r="F14" s="18" t="n">
        <v>3913539300</v>
      </c>
      <c r="G14" s="19" t="n">
        <v>141.441472024399</v>
      </c>
      <c r="H14" s="16" t="n">
        <v>61149051.5625</v>
      </c>
      <c r="I14" s="16" t="n">
        <v>10.125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0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7" min="15" style="0" width="16"/>
    <col collapsed="false" customWidth="true" hidden="false" outlineLevel="0" max="19" min="18" style="0" width="14"/>
    <col collapsed="false" customWidth="true" hidden="false" outlineLevel="0" max="20" min="20" style="0" width="12"/>
    <col collapsed="false" customWidth="true" hidden="false" outlineLevel="0" max="21" min="21" style="0" width="20"/>
    <col collapsed="false" customWidth="true" hidden="false" outlineLevel="0" max="22" min="22" style="0" width="14"/>
  </cols>
  <sheetData>
    <row r="1" customFormat="false" ht="21.6" hidden="false" customHeight="false" outlineLevel="0" collapsed="false">
      <c r="A1" s="13" t="s">
        <v>65</v>
      </c>
    </row>
    <row r="3" customFormat="false" ht="17.15" hidden="false" customHeight="false" outlineLevel="0" collapsed="false">
      <c r="A3" s="14" t="s">
        <v>51</v>
      </c>
      <c r="B3" s="14" t="s">
        <v>52</v>
      </c>
      <c r="C3" s="14" t="s">
        <v>66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72</v>
      </c>
      <c r="J3" s="14" t="s">
        <v>73</v>
      </c>
      <c r="K3" s="14" t="s">
        <v>74</v>
      </c>
      <c r="L3" s="14" t="s">
        <v>75</v>
      </c>
      <c r="M3" s="14" t="s">
        <v>76</v>
      </c>
      <c r="N3" s="14" t="s">
        <v>77</v>
      </c>
      <c r="O3" s="14" t="s">
        <v>78</v>
      </c>
      <c r="P3" s="20" t="s">
        <v>79</v>
      </c>
      <c r="Q3" s="14" t="s">
        <v>56</v>
      </c>
      <c r="R3" s="20" t="s">
        <v>80</v>
      </c>
      <c r="S3" s="14" t="s">
        <v>81</v>
      </c>
      <c r="T3" s="14" t="s">
        <v>82</v>
      </c>
      <c r="U3" s="14" t="s">
        <v>83</v>
      </c>
      <c r="V3" s="14" t="s">
        <v>84</v>
      </c>
    </row>
    <row r="4" customFormat="false" ht="15" hidden="false" customHeight="false" outlineLevel="0" collapsed="false">
      <c r="A4" s="15" t="n">
        <v>1</v>
      </c>
      <c r="B4" s="21" t="n">
        <f aca="false">참조데이터!B5</f>
        <v>1</v>
      </c>
      <c r="C4" s="16" t="n">
        <f aca="false">가정!$D$6*가정!$D$7*참조데이터!C5*가정!$D$8</f>
        <v>21.110544</v>
      </c>
      <c r="D4" s="16" t="n">
        <f aca="false">가정!$D$44*가정!$D$45^(B4-1)*(1+가정!$D$46)^(8-1)</f>
        <v>17.1382426877952</v>
      </c>
      <c r="E4" s="22" t="n">
        <v>0</v>
      </c>
      <c r="F4" s="16" t="n">
        <f aca="false">(C4+D4)*(1+E4)</f>
        <v>38.2487866877952</v>
      </c>
      <c r="G4" s="23" t="n">
        <f aca="false">1+F4/가정!$D$12</f>
        <v>1.38248786687795</v>
      </c>
      <c r="H4" s="22" t="n">
        <f aca="false">가정!$D$13+가정!$D$14*(F4/(F4+가정!$D$15))</f>
        <v>0.914448723327236</v>
      </c>
      <c r="I4" s="22" t="n">
        <f aca="false">가정!$D$16+가정!$D$17*(F4/(F4+가정!$D$18))</f>
        <v>0.134809143875287</v>
      </c>
      <c r="J4" s="23" t="n">
        <f aca="false">1+가정!$D$21*(F4/(F4+가정!$D$22))</f>
        <v>1.17455284692</v>
      </c>
      <c r="K4" s="24" t="n">
        <f aca="false">F4*가정!$D$40</f>
        <v>1.91243933438976</v>
      </c>
      <c r="L4" s="24" t="n">
        <f aca="false">F4*가정!$D$41</f>
        <v>3.82487866877952</v>
      </c>
      <c r="M4" s="22" t="n">
        <f aca="false">MIN(1,L4/(K4*J4))</f>
        <v>1</v>
      </c>
      <c r="N4" s="23" t="n">
        <f aca="false">J4*M4</f>
        <v>1.17455284692</v>
      </c>
      <c r="O4" s="16" t="n">
        <f aca="false">가정!$D$11*(1+가정!$G$11)^(B4-1)*F4*G4*(1+I4*(가정!$D$19-1))*가정!$D$24*(100/(100+참조데이터!G5-가정!$D$20))</f>
        <v>52.5926873849527</v>
      </c>
      <c r="P4" s="16" t="n">
        <f aca="false">O4*N4*H4*(1+가정!$D$23*8)</f>
        <v>65.5262435976198</v>
      </c>
      <c r="Q4" s="25" t="n">
        <f aca="false">참조데이터!F5</f>
        <v>253.125</v>
      </c>
      <c r="R4" s="23" t="n">
        <f aca="false">Q4/P4</f>
        <v>3.86295606313673</v>
      </c>
      <c r="S4" s="26" t="n">
        <f aca="false">참조데이터!I5/(2*참조데이터!H5)</f>
        <v>0.02</v>
      </c>
      <c r="T4" s="27" t="n">
        <f aca="false">가정!$D$27</f>
        <v>6.93</v>
      </c>
      <c r="U4" s="18" t="n">
        <f aca="false">참조데이터!D5*가정!$D$6*19.84</f>
        <v>83101.824</v>
      </c>
      <c r="V4" s="23" t="n">
        <f aca="false">U4/(S4*P4*T4)/3600</f>
        <v>2.54173080899943</v>
      </c>
    </row>
    <row r="5" customFormat="false" ht="15" hidden="false" customHeight="false" outlineLevel="0" collapsed="false">
      <c r="A5" s="15" t="n">
        <v>2</v>
      </c>
      <c r="B5" s="21" t="n">
        <f aca="false">참조데이터!B6</f>
        <v>1</v>
      </c>
      <c r="C5" s="16" t="n">
        <f aca="false">가정!$D$6*가정!$D$7*참조데이터!C6*가정!$D$8</f>
        <v>145.57536</v>
      </c>
      <c r="D5" s="16" t="n">
        <f aca="false">가정!$D$44*가정!$D$45^(B5-1)*(1+가정!$D$46)^(20-1)</f>
        <v>43.1570105911973</v>
      </c>
      <c r="E5" s="22" t="n">
        <v>0</v>
      </c>
      <c r="F5" s="16" t="n">
        <f aca="false">(C5+D5)*(1+E5)</f>
        <v>188.732370591197</v>
      </c>
      <c r="G5" s="23" t="n">
        <f aca="false">1+F5/가정!$D$12</f>
        <v>2.88732370591197</v>
      </c>
      <c r="H5" s="22" t="n">
        <f aca="false">가정!$D$13+가정!$D$14*(F5/(F5+가정!$D$15))</f>
        <v>0.943695649341924</v>
      </c>
      <c r="I5" s="22" t="n">
        <f aca="false">가정!$D$16+가정!$D$17*(F5/(F5+가정!$D$18))</f>
        <v>0.339625337835045</v>
      </c>
      <c r="J5" s="23" t="n">
        <f aca="false">1+가정!$D$21*(F5/(F5+가정!$D$22))</f>
        <v>1.64114827048384</v>
      </c>
      <c r="K5" s="24" t="n">
        <f aca="false">F5*가정!$D$40</f>
        <v>9.43661852955987</v>
      </c>
      <c r="L5" s="24" t="n">
        <f aca="false">F5*가정!$D$41</f>
        <v>18.8732370591197</v>
      </c>
      <c r="M5" s="22" t="n">
        <f aca="false">MIN(1,L5/(K5*J5))</f>
        <v>1</v>
      </c>
      <c r="N5" s="23" t="n">
        <f aca="false">J5*M5</f>
        <v>1.64114827048384</v>
      </c>
      <c r="O5" s="16" t="n">
        <f aca="false">가정!$D$11*(1+가정!$G$11)^(B5-1)*F5*G5*(1+I5*(가정!$D$19-1))*가정!$D$24*(100/(100+참조데이터!G6-가정!$D$20))</f>
        <v>593.985036585476</v>
      </c>
      <c r="P5" s="16" t="n">
        <f aca="false">O5*N5*H5*(1+가정!$D$23*20)</f>
        <v>1287.9034675724</v>
      </c>
      <c r="Q5" s="25" t="n">
        <f aca="false">참조데이터!F6</f>
        <v>253.125</v>
      </c>
      <c r="R5" s="23" t="n">
        <f aca="false">Q5/P5</f>
        <v>0.196540351333258</v>
      </c>
      <c r="S5" s="26" t="n">
        <f aca="false">참조데이터!I6/(2*참조데이터!H6)</f>
        <v>0.02</v>
      </c>
      <c r="T5" s="27" t="n">
        <f aca="false">가정!$D$28</f>
        <v>2.26</v>
      </c>
      <c r="U5" s="18" t="n">
        <f aca="false">참조데이터!D6*가정!$D$6*19.84</f>
        <v>489956.736</v>
      </c>
      <c r="V5" s="23" t="n">
        <f aca="false">U5/(S5*P5*T5)/3600</f>
        <v>2.33794066381481</v>
      </c>
    </row>
    <row r="6" customFormat="false" ht="15" hidden="false" customHeight="false" outlineLevel="0" collapsed="false">
      <c r="A6" s="15" t="n">
        <v>3</v>
      </c>
      <c r="B6" s="21" t="n">
        <f aca="false">참조데이터!B7</f>
        <v>2</v>
      </c>
      <c r="C6" s="16" t="n">
        <f aca="false">가정!$D$6*가정!$D$7*참조데이터!C7*가정!$D$8</f>
        <v>156.978864</v>
      </c>
      <c r="D6" s="16" t="n">
        <f aca="false">가정!$D$44*가정!$D$45^(B6-1)*(1+가정!$D$46)^(8-1)</f>
        <v>42.845606719488</v>
      </c>
      <c r="E6" s="22" t="n">
        <v>0</v>
      </c>
      <c r="F6" s="16" t="n">
        <f aca="false">(C6+D6)*(1+E6)</f>
        <v>199.824470719488</v>
      </c>
      <c r="G6" s="23" t="n">
        <f aca="false">1+F6/가정!$D$12</f>
        <v>2.99824470719488</v>
      </c>
      <c r="H6" s="22" t="n">
        <f aca="false">가정!$D$13+가정!$D$14*(F6/(F6+가정!$D$15))</f>
        <v>0.944980244286677</v>
      </c>
      <c r="I6" s="22" t="n">
        <f aca="false">가정!$D$16+가정!$D$17*(F6/(F6+가정!$D$18))</f>
        <v>0.349841968169112</v>
      </c>
      <c r="J6" s="23" t="n">
        <f aca="false">1+가정!$D$21*(F6/(F6+가정!$D$22))</f>
        <v>1.6662764874524</v>
      </c>
      <c r="K6" s="24" t="n">
        <f aca="false">F6*가정!$D$40</f>
        <v>9.9912235359744</v>
      </c>
      <c r="L6" s="24" t="n">
        <f aca="false">F6*가정!$D$41</f>
        <v>19.9824470719488</v>
      </c>
      <c r="M6" s="22" t="n">
        <f aca="false">MIN(1,L6/(K6*J6))</f>
        <v>1</v>
      </c>
      <c r="N6" s="23" t="n">
        <f aca="false">J6*M6</f>
        <v>1.6662764874524</v>
      </c>
      <c r="O6" s="16" t="n">
        <f aca="false">가정!$D$11*(1+가정!$G$11)^(B6-1)*F6*G6*(1+I6*(가정!$D$19-1))*가정!$D$24*(100/(100+참조데이터!G7-가정!$D$20))</f>
        <v>925.531230100759</v>
      </c>
      <c r="P6" s="16" t="n">
        <f aca="false">O6*N6*H6*(1+가정!$D$23*8)</f>
        <v>1690.51435249378</v>
      </c>
      <c r="Q6" s="25" t="n">
        <f aca="false">참조데이터!F7</f>
        <v>6075</v>
      </c>
      <c r="R6" s="23" t="n">
        <f aca="false">Q6/P6</f>
        <v>3.59358084776886</v>
      </c>
      <c r="S6" s="26" t="n">
        <f aca="false">참조데이터!I7/(2*참조데이터!H7)</f>
        <v>0.00395061728395062</v>
      </c>
      <c r="T6" s="27" t="n">
        <f aca="false">가정!$D$29</f>
        <v>1</v>
      </c>
      <c r="U6" s="18" t="n">
        <f aca="false">참조데이터!D7*가정!$D$6*19.84</f>
        <v>44889.9840000001</v>
      </c>
      <c r="V6" s="23" t="n">
        <f aca="false">U6/(S6*P6*T6)/3600</f>
        <v>1.86708086526679</v>
      </c>
    </row>
    <row r="7" customFormat="false" ht="15" hidden="false" customHeight="false" outlineLevel="0" collapsed="false">
      <c r="A7" s="15" t="n">
        <v>4</v>
      </c>
      <c r="B7" s="21" t="n">
        <f aca="false">참조데이터!B8</f>
        <v>2</v>
      </c>
      <c r="C7" s="16" t="n">
        <f aca="false">가정!$D$6*가정!$D$7*참조데이터!C8*가정!$D$8</f>
        <v>367.467408</v>
      </c>
      <c r="D7" s="16" t="n">
        <f aca="false">가정!$D$44*가정!$D$45^(B7-1)*(1+가정!$D$46)^(20-1)</f>
        <v>107.892526477993</v>
      </c>
      <c r="E7" s="22" t="n">
        <v>0</v>
      </c>
      <c r="F7" s="16" t="n">
        <f aca="false">(C7+D7)*(1+E7)</f>
        <v>475.359934477993</v>
      </c>
      <c r="G7" s="23" t="n">
        <f aca="false">1+F7/가정!$D$12</f>
        <v>5.75359934477993</v>
      </c>
      <c r="H7" s="22" t="n">
        <f aca="false">가정!$D$13+가정!$D$14*(F7/(F7+가정!$D$15))</f>
        <v>0.963347545388649</v>
      </c>
      <c r="I7" s="22" t="n">
        <f aca="false">가정!$D$16+가정!$D$17*(F7/(F7+가정!$D$18))</f>
        <v>0.509812191738434</v>
      </c>
      <c r="J7" s="23" t="n">
        <f aca="false">1+가정!$D$21*(F7/(F7+가정!$D$22))</f>
        <v>2.08609022587141</v>
      </c>
      <c r="K7" s="24" t="n">
        <f aca="false">F7*가정!$D$40</f>
        <v>23.7679967238997</v>
      </c>
      <c r="L7" s="24" t="n">
        <f aca="false">F7*가정!$D$41</f>
        <v>47.5359934477993</v>
      </c>
      <c r="M7" s="22" t="n">
        <f aca="false">MIN(1,L7/(K7*J7))</f>
        <v>0.958731302796144</v>
      </c>
      <c r="N7" s="23" t="n">
        <f aca="false">J7*M7</f>
        <v>2</v>
      </c>
      <c r="O7" s="16" t="n">
        <f aca="false">가정!$D$11*(1+가정!$G$11)^(B7-1)*F7*G7*(1+I7*(가정!$D$19-1))*가정!$D$24*(100/(100+참조데이터!G8-가정!$D$20))</f>
        <v>4512.73768909729</v>
      </c>
      <c r="P7" s="16" t="n">
        <f aca="false">O7*N7*H7*(1+가정!$D$23*20)</f>
        <v>12172.5373721692</v>
      </c>
      <c r="Q7" s="25" t="n">
        <f aca="false">참조데이터!F8</f>
        <v>6075</v>
      </c>
      <c r="R7" s="23" t="n">
        <f aca="false">Q7/P7</f>
        <v>0.499074253317935</v>
      </c>
      <c r="S7" s="26" t="n">
        <f aca="false">참조데이터!I8/(2*참조데이터!H8)</f>
        <v>0.00395061728395062</v>
      </c>
      <c r="T7" s="27" t="n">
        <f aca="false">가정!$D$30</f>
        <v>1.08</v>
      </c>
      <c r="U7" s="18" t="n">
        <f aca="false">참조데이터!D8*가정!$D$6*19.84</f>
        <v>828589.824</v>
      </c>
      <c r="V7" s="23" t="n">
        <f aca="false">U7/(S7*P7*T7)/3600</f>
        <v>4.43166846407363</v>
      </c>
    </row>
    <row r="8" customFormat="false" ht="15" hidden="false" customHeight="false" outlineLevel="0" collapsed="false">
      <c r="A8" s="15" t="n">
        <v>5</v>
      </c>
      <c r="B8" s="21" t="n">
        <f aca="false">참조데이터!B9</f>
        <v>3</v>
      </c>
      <c r="C8" s="16" t="n">
        <f aca="false">가정!$D$6*가정!$D$7*참조데이터!C9*가정!$D$8</f>
        <v>395.590608</v>
      </c>
      <c r="D8" s="16" t="n">
        <f aca="false">가정!$D$44*가정!$D$45^(B8-1)*(1+가정!$D$46)^(8-1)</f>
        <v>107.11401679872</v>
      </c>
      <c r="E8" s="22" t="n">
        <v>0</v>
      </c>
      <c r="F8" s="16" t="n">
        <f aca="false">(C8+D8)*(1+E8)</f>
        <v>502.70462479872</v>
      </c>
      <c r="G8" s="23" t="n">
        <f aca="false">1+F8/가정!$D$12</f>
        <v>6.0270462479872</v>
      </c>
      <c r="H8" s="22" t="n">
        <f aca="false">가정!$D$13+가정!$D$14*(F8/(F8+가정!$D$15))</f>
        <v>0.964384685449942</v>
      </c>
      <c r="I8" s="22" t="n">
        <f aca="false">가정!$D$16+가정!$D$17*(F8/(F8+가정!$D$18))</f>
        <v>0.519697640889488</v>
      </c>
      <c r="J8" s="23" t="n">
        <f aca="false">1+가정!$D$21*(F8/(F8+가정!$D$22))</f>
        <v>2.11377434210179</v>
      </c>
      <c r="K8" s="24" t="n">
        <f aca="false">F8*가정!$D$40</f>
        <v>25.135231239936</v>
      </c>
      <c r="L8" s="24" t="n">
        <f aca="false">F8*가정!$D$41</f>
        <v>50.270462479872</v>
      </c>
      <c r="M8" s="22" t="n">
        <f aca="false">MIN(1,L8/(K8*J8))</f>
        <v>0.946174792722357</v>
      </c>
      <c r="N8" s="23" t="n">
        <f aca="false">J8*M8</f>
        <v>2</v>
      </c>
      <c r="O8" s="16" t="n">
        <f aca="false">가정!$D$11*(1+가정!$G$11)^(B8-1)*F8*G8*(1+I8*(가정!$D$19-1))*가정!$D$24*(100/(100+참조데이터!G9-가정!$D$20))</f>
        <v>6772.13320070502</v>
      </c>
      <c r="P8" s="16" t="n">
        <f aca="false">O8*N8*H8*(1+가정!$D$23*8)</f>
        <v>15151.7843880819</v>
      </c>
      <c r="Q8" s="25" t="n">
        <f aca="false">참조데이터!F9</f>
        <v>183768.75</v>
      </c>
      <c r="R8" s="23" t="n">
        <f aca="false">Q8/P8</f>
        <v>12.1285219808532</v>
      </c>
      <c r="S8" s="26" t="n">
        <f aca="false">참조데이터!I9/(2*참조데이터!H9)</f>
        <v>0.000185185185185185</v>
      </c>
      <c r="T8" s="27" t="n">
        <f aca="false">가정!$D$31</f>
        <v>1.23</v>
      </c>
      <c r="U8" s="18" t="n">
        <f aca="false">참조데이터!D9*가정!$D$6*19.84</f>
        <v>110707.2</v>
      </c>
      <c r="V8" s="23" t="n">
        <f aca="false">U8/(S8*P8*T8)/3600</f>
        <v>8.91042117745553</v>
      </c>
    </row>
    <row r="9" customFormat="false" ht="15" hidden="false" customHeight="false" outlineLevel="0" collapsed="false">
      <c r="A9" s="15" t="n">
        <v>6</v>
      </c>
      <c r="B9" s="21" t="n">
        <f aca="false">참조데이터!B10</f>
        <v>3</v>
      </c>
      <c r="C9" s="16" t="n">
        <f aca="false">가정!$D$6*가정!$D$7*참조데이터!C10*가정!$D$8</f>
        <v>1565.515728</v>
      </c>
      <c r="D9" s="16" t="n">
        <f aca="false">가정!$D$44*가정!$D$45^(B9-1)*(1+가정!$D$46)^(20-1)</f>
        <v>269.731316194983</v>
      </c>
      <c r="E9" s="22" t="n">
        <f aca="false">가정!$D$51</f>
        <v>0.05</v>
      </c>
      <c r="F9" s="16" t="n">
        <f aca="false">(C9+D9)*(1+E9)</f>
        <v>1927.00939640473</v>
      </c>
      <c r="G9" s="23" t="n">
        <f aca="false">1+F9/가정!$D$12</f>
        <v>20.2700939640473</v>
      </c>
      <c r="H9" s="22" t="n">
        <f aca="false">가정!$D$13+가정!$D$14*(F9/(F9+가정!$D$15))</f>
        <v>0.981537413971736</v>
      </c>
      <c r="I9" s="22" t="n">
        <f aca="false">가정!$D$16+가정!$D$17*(F9/(F9+가정!$D$18))</f>
        <v>0.698967646762857</v>
      </c>
      <c r="J9" s="23" t="n">
        <f aca="false">1+가정!$D$21*(F9/(F9+가정!$D$22))</f>
        <v>2.65621110029207</v>
      </c>
      <c r="K9" s="24" t="n">
        <f aca="false">F9*가정!$D$40</f>
        <v>96.3504698202366</v>
      </c>
      <c r="L9" s="24" t="n">
        <f aca="false">F9*가정!$D$41</f>
        <v>192.700939640473</v>
      </c>
      <c r="M9" s="22" t="n">
        <f aca="false">MIN(1,L9/(K9*J9))</f>
        <v>0.752952203151356</v>
      </c>
      <c r="N9" s="23" t="n">
        <f aca="false">J9*M9</f>
        <v>2</v>
      </c>
      <c r="O9" s="16" t="n">
        <f aca="false">가정!$D$11*(1+가정!$G$11)^(B9-1)*F9*G9*(1+I9*(가정!$D$19-1))*가정!$D$24*(100/(100+참조데이터!G10-가정!$D$20))</f>
        <v>93518.3703986969</v>
      </c>
      <c r="P9" s="16" t="n">
        <f aca="false">O9*N9*H9*(1+가정!$D$23*20)</f>
        <v>257016.982431966</v>
      </c>
      <c r="Q9" s="25" t="n">
        <f aca="false">참조데이터!F10</f>
        <v>183768.75</v>
      </c>
      <c r="R9" s="23" t="n">
        <f aca="false">Q9/P9</f>
        <v>0.715006254688422</v>
      </c>
      <c r="S9" s="26" t="n">
        <f aca="false">참조데이터!I10/(2*참조데이터!H10)</f>
        <v>0.000185185185185185</v>
      </c>
      <c r="T9" s="27" t="n">
        <f aca="false">가정!$D$32</f>
        <v>1.9</v>
      </c>
      <c r="U9" s="18" t="n">
        <f aca="false">참조데이터!D10*가정!$D$6*19.84</f>
        <v>4605419.52</v>
      </c>
      <c r="V9" s="23" t="n">
        <f aca="false">U9/(S9*P9*T9)/3600</f>
        <v>14.1463707237786</v>
      </c>
    </row>
    <row r="10" customFormat="false" ht="15" hidden="false" customHeight="false" outlineLevel="0" collapsed="false">
      <c r="A10" s="15" t="n">
        <v>7</v>
      </c>
      <c r="B10" s="21" t="n">
        <f aca="false">참조데이터!B11</f>
        <v>4</v>
      </c>
      <c r="C10" s="16" t="n">
        <f aca="false">가정!$D$6*가정!$D$7*참조데이터!C11*가정!$D$8</f>
        <v>1620.34992</v>
      </c>
      <c r="D10" s="16" t="n">
        <f aca="false">가정!$D$44*가정!$D$45^(B10-1)*(1+가정!$D$46)^(8-1)</f>
        <v>267.7850419968</v>
      </c>
      <c r="E10" s="22" t="n">
        <f aca="false">가정!$D$52</f>
        <v>0.058</v>
      </c>
      <c r="F10" s="16" t="n">
        <f aca="false">(C10+D10)*(1+E10)</f>
        <v>1997.64678979261</v>
      </c>
      <c r="G10" s="23" t="n">
        <f aca="false">1+F10/가정!$D$12</f>
        <v>20.9764678979262</v>
      </c>
      <c r="H10" s="22" t="n">
        <f aca="false">가정!$D$13+가정!$D$14*(F10/(F10+가정!$D$15))</f>
        <v>0.98180942083887</v>
      </c>
      <c r="I10" s="22" t="n">
        <f aca="false">가정!$D$16+가정!$D$17*(F10/(F10+가정!$D$18))</f>
        <v>0.702073721252731</v>
      </c>
      <c r="J10" s="23" t="n">
        <f aca="false">1+가정!$D$21*(F10/(F10+가정!$D$22))</f>
        <v>2.66633951113825</v>
      </c>
      <c r="K10" s="24" t="n">
        <f aca="false">F10*가정!$D$40</f>
        <v>99.8823394896307</v>
      </c>
      <c r="L10" s="24" t="n">
        <f aca="false">F10*가정!$D$41</f>
        <v>199.764678979261</v>
      </c>
      <c r="M10" s="22" t="n">
        <f aca="false">MIN(1,L10/(K10*J10))</f>
        <v>0.75009202378215</v>
      </c>
      <c r="N10" s="23" t="n">
        <f aca="false">J10*M10</f>
        <v>2</v>
      </c>
      <c r="O10" s="16" t="n">
        <f aca="false">가정!$D$11*(1+가정!$G$11)^(B10-1)*F10*G10*(1+I10*(가정!$D$19-1))*가정!$D$24*(100/(100+참조데이터!G11-가정!$D$20))</f>
        <v>120980.459544145</v>
      </c>
      <c r="P10" s="16" t="n">
        <f aca="false">O10*N10*H10*(1+가정!$D$23*8)</f>
        <v>275569.031409428</v>
      </c>
      <c r="Q10" s="25" t="n">
        <f aca="false">참조데이터!F11</f>
        <v>15287262.890625</v>
      </c>
      <c r="R10" s="23" t="n">
        <f aca="false">Q10/P10</f>
        <v>55.4752571885041</v>
      </c>
      <c r="S10" s="26" t="n">
        <f aca="false">참조데이터!I11/(2*참조데이터!H11)</f>
        <v>6.6783537857918E-006</v>
      </c>
      <c r="T10" s="27" t="n">
        <f aca="false">가정!$D$33</f>
        <v>1.2</v>
      </c>
      <c r="U10" s="18" t="n">
        <f aca="false">참조데이터!D11*가정!$D$6*19.84</f>
        <v>215855.232</v>
      </c>
      <c r="V10" s="23" t="n">
        <f aca="false">U10/(S10*P10*T10)/3600</f>
        <v>27.1505730949999</v>
      </c>
    </row>
    <row r="11" customFormat="false" ht="15" hidden="false" customHeight="false" outlineLevel="0" collapsed="false">
      <c r="A11" s="15" t="n">
        <v>8</v>
      </c>
      <c r="B11" s="21" t="n">
        <f aca="false">참조데이터!B12</f>
        <v>4</v>
      </c>
      <c r="C11" s="16" t="n">
        <f aca="false">가정!$D$6*가정!$D$7*참조데이터!C12*가정!$D$8</f>
        <v>5730.927552</v>
      </c>
      <c r="D11" s="16" t="n">
        <f aca="false">가정!$D$44*가정!$D$45^(B11-1)*(1+가정!$D$46)^(20-1)</f>
        <v>674.328290487458</v>
      </c>
      <c r="E11" s="22" t="n">
        <f aca="false">가정!$D$53</f>
        <v>0.082</v>
      </c>
      <c r="F11" s="16" t="n">
        <f aca="false">(C11+D11)*(1+E11)</f>
        <v>6930.48682157143</v>
      </c>
      <c r="G11" s="23" t="n">
        <f aca="false">1+F11/가정!$D$12</f>
        <v>70.3048682157143</v>
      </c>
      <c r="H11" s="22" t="n">
        <f aca="false">가정!$D$13+가정!$D$14*(F11/(F11+가정!$D$15))</f>
        <v>0.987475628179335</v>
      </c>
      <c r="I11" s="22" t="n">
        <f aca="false">가정!$D$16+가정!$D$17*(F11/(F11+가정!$D$18))</f>
        <v>0.768881763351157</v>
      </c>
      <c r="J11" s="23" t="n">
        <f aca="false">1+가정!$D$21*(F11/(F11+가정!$D$22))</f>
        <v>2.89086672966305</v>
      </c>
      <c r="K11" s="24" t="n">
        <f aca="false">F11*가정!$D$40</f>
        <v>346.524341078572</v>
      </c>
      <c r="L11" s="24" t="n">
        <f aca="false">F11*가정!$D$41</f>
        <v>693.048682157143</v>
      </c>
      <c r="M11" s="22" t="n">
        <f aca="false">MIN(1,L11/(K11*J11))</f>
        <v>0.691834036995927</v>
      </c>
      <c r="N11" s="23" t="n">
        <f aca="false">J11*M11</f>
        <v>2</v>
      </c>
      <c r="O11" s="16" t="n">
        <f aca="false">가정!$D$11*(1+가정!$G$11)^(B11-1)*F11*G11*(1+I11*(가정!$D$19-1))*가정!$D$24*(100/(100+참조데이터!G12-가정!$D$20))</f>
        <v>1441519.50800265</v>
      </c>
      <c r="P11" s="16" t="n">
        <f aca="false">O11*N11*H11*(1+가정!$D$23*20)</f>
        <v>3985703.0687535</v>
      </c>
      <c r="Q11" s="25" t="n">
        <f aca="false">참조데이터!F12</f>
        <v>15287262.890625</v>
      </c>
      <c r="R11" s="23" t="n">
        <f aca="false">Q11/P11</f>
        <v>3.83552478117894</v>
      </c>
      <c r="S11" s="26" t="n">
        <f aca="false">참조데이터!I12/(2*참조데이터!H12)</f>
        <v>6.6783537857918E-006</v>
      </c>
      <c r="T11" s="27" t="n">
        <f aca="false">가정!$D$34</f>
        <v>4.18</v>
      </c>
      <c r="U11" s="18" t="n">
        <f aca="false">참조데이터!D12*가정!$D$6*19.84</f>
        <v>16181321.472</v>
      </c>
      <c r="V11" s="23" t="n">
        <f aca="false">U11/(S11*P11*T11)/3600</f>
        <v>40.3980907446244</v>
      </c>
    </row>
    <row r="12" customFormat="false" ht="15" hidden="false" customHeight="false" outlineLevel="0" collapsed="false">
      <c r="A12" s="15" t="n">
        <v>9</v>
      </c>
      <c r="B12" s="21" t="n">
        <f aca="false">참조데이터!B13</f>
        <v>5</v>
      </c>
      <c r="C12" s="16" t="n">
        <f aca="false">가정!$D$6*가정!$D$7*참조데이터!C13*가정!$D$8</f>
        <v>5828.357808</v>
      </c>
      <c r="D12" s="16" t="n">
        <f aca="false">가정!$D$44*가정!$D$45^(B12-1)*(1+가정!$D$46)^(8-1)</f>
        <v>669.462604992</v>
      </c>
      <c r="E12" s="22" t="n">
        <f aca="false">가정!$D$54</f>
        <v>0.097</v>
      </c>
      <c r="F12" s="16" t="n">
        <f aca="false">(C12+D12)*(1+E12)</f>
        <v>7128.10899305223</v>
      </c>
      <c r="G12" s="23" t="n">
        <f aca="false">1+F12/가정!$D$12</f>
        <v>72.2810899305223</v>
      </c>
      <c r="H12" s="22" t="n">
        <f aca="false">가정!$D$13+가정!$D$14*(F12/(F12+가정!$D$15))</f>
        <v>0.987543704655994</v>
      </c>
      <c r="I12" s="22" t="n">
        <f aca="false">가정!$D$16+가정!$D$17*(F12/(F12+가정!$D$18))</f>
        <v>0.769709652859099</v>
      </c>
      <c r="J12" s="23" t="n">
        <f aca="false">1+가정!$D$21*(F12/(F12+가정!$D$22))</f>
        <v>2.89373161298032</v>
      </c>
      <c r="K12" s="24" t="n">
        <f aca="false">F12*가정!$D$40</f>
        <v>356.405449652611</v>
      </c>
      <c r="L12" s="24" t="n">
        <f aca="false">F12*가정!$D$41</f>
        <v>712.810899305223</v>
      </c>
      <c r="M12" s="22" t="n">
        <f aca="false">MIN(1,L12/(K12*J12))</f>
        <v>0.691149100016278</v>
      </c>
      <c r="N12" s="23" t="n">
        <f aca="false">J12*M12</f>
        <v>2</v>
      </c>
      <c r="O12" s="16" t="n">
        <f aca="false">가정!$D$11*(1+가정!$G$11)^(B12-1)*F12*G12*(1+I12*(가정!$D$19-1))*가정!$D$24*(100/(100+참조데이터!G13-가정!$D$20))</f>
        <v>1496085.58784672</v>
      </c>
      <c r="P12" s="16" t="n">
        <f aca="false">O12*N12*H12*(1+가정!$D$23*8)</f>
        <v>3427683.77705866</v>
      </c>
      <c r="Q12" s="25" t="n">
        <f aca="false">참조데이터!F13</f>
        <v>3913539300</v>
      </c>
      <c r="R12" s="23" t="n">
        <f aca="false">Q12/P12</f>
        <v>1141.74455829127</v>
      </c>
      <c r="S12" s="26" t="n">
        <f aca="false">참조데이터!I13/(2*참조데이터!H13)</f>
        <v>8.27895097412207E-008</v>
      </c>
      <c r="T12" s="27" t="n">
        <f aca="false">가정!$D$35</f>
        <v>6.39</v>
      </c>
      <c r="U12" s="18" t="n">
        <f aca="false">참조데이터!D13*가정!$D$6*19.84</f>
        <v>383534.976000003</v>
      </c>
      <c r="V12" s="23" t="n">
        <f aca="false">U12/(S12*P12*T12)/3600</f>
        <v>58.7523924666855</v>
      </c>
    </row>
    <row r="13" customFormat="false" ht="15" hidden="false" customHeight="false" outlineLevel="0" collapsed="false">
      <c r="A13" s="15" t="n">
        <v>10</v>
      </c>
      <c r="B13" s="21" t="n">
        <f aca="false">참조데이터!B14</f>
        <v>5</v>
      </c>
      <c r="C13" s="16" t="n">
        <f aca="false">가정!$D$6*가정!$D$7*참조데이터!C14*가정!$D$8</f>
        <v>18197.337312</v>
      </c>
      <c r="D13" s="16" t="n">
        <f aca="false">가정!$D$44*가정!$D$45^(B13-1)*(1+가정!$D$46)^(20-1)</f>
        <v>1685.82072621864</v>
      </c>
      <c r="E13" s="22" t="n">
        <f aca="false">가정!$D$55</f>
        <v>0.128</v>
      </c>
      <c r="F13" s="16" t="n">
        <f aca="false">(C13+D13)*(1+E13)</f>
        <v>22428.2022671106</v>
      </c>
      <c r="G13" s="23" t="n">
        <f aca="false">1+F13/가정!$D$12</f>
        <v>225.282022671106</v>
      </c>
      <c r="H13" s="22" t="n">
        <f aca="false">가정!$D$13+가정!$D$14*(F13/(F13+가정!$D$15))</f>
        <v>0.989204532477325</v>
      </c>
      <c r="I13" s="22" t="n">
        <f aca="false">가정!$D$16+가정!$D$17*(F13/(F13+가정!$D$18))</f>
        <v>0.790100404890994</v>
      </c>
      <c r="J13" s="23" t="n">
        <f aca="false">1+가정!$D$21*(F13/(F13+가정!$D$22))</f>
        <v>2.96495562854055</v>
      </c>
      <c r="K13" s="24" t="n">
        <f aca="false">F13*가정!$D$40</f>
        <v>1121.41011335553</v>
      </c>
      <c r="L13" s="24" t="n">
        <f aca="false">F13*가정!$D$41</f>
        <v>2242.82022671106</v>
      </c>
      <c r="M13" s="22" t="n">
        <f aca="false">MIN(1,L13/(K13*J13))</f>
        <v>0.674546350963257</v>
      </c>
      <c r="N13" s="23" t="n">
        <f aca="false">J13*M13</f>
        <v>2</v>
      </c>
      <c r="O13" s="16" t="n">
        <f aca="false">가정!$D$11*(1+가정!$G$11)^(B13-1)*F13*G13*(1+I13*(가정!$D$19-1))*가정!$D$24*(100/(100+참조데이터!G14-가정!$D$20))</f>
        <v>14779645.0217778</v>
      </c>
      <c r="P13" s="16" t="n">
        <f aca="false">O13*N13*H13*(1+가정!$D$23*20)</f>
        <v>40936257.1630559</v>
      </c>
      <c r="Q13" s="25" t="n">
        <f aca="false">참조데이터!F14</f>
        <v>3913539300</v>
      </c>
      <c r="R13" s="23" t="n">
        <f aca="false">Q13/P13</f>
        <v>95.6008089457647</v>
      </c>
      <c r="S13" s="26" t="n">
        <f aca="false">참조데이터!I14/(2*참조데이터!H14)</f>
        <v>8.27895097412207E-008</v>
      </c>
      <c r="T13" s="27" t="n">
        <f aca="false">가정!$D$36</f>
        <v>34.5</v>
      </c>
      <c r="U13" s="18" t="n">
        <f aca="false">참조데이터!D14*가정!$D$6*19.84</f>
        <v>48690585.984</v>
      </c>
      <c r="V13" s="23" t="n">
        <f aca="false">U13/(S13*P13*T13)/3600</f>
        <v>115.675120974576</v>
      </c>
    </row>
    <row r="15" customFormat="false" ht="90" hidden="false" customHeight="true" outlineLevel="0" collapsed="false">
      <c r="A15" s="1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2026-07-09T00:30:37Z</dcterms:created>
  <dc:creator>openpyxl</dc:creator>
  <dc:description/>
  <dc:language>en-US</dc:language>
  <cp:lastModifiedBy/>
  <dcterms:modified xsi:type="dcterms:W3CDTF">2026-07-09T00:30:41Z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