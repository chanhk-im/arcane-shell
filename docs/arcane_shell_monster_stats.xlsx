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가정" sheetId="1" state="visible" r:id="rId3"/>
    <sheet name="몬스터 스탯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<sst xmlns="http://schemas.openxmlformats.org/spreadsheetml/2006/main" count="55" uniqueCount="50">
  <si>
    <r>
      <rPr>
        <b val="true"/>
        <sz val="14"/>
        <rFont val="Arial"/>
        <family val="0"/>
        <charset val="1"/>
      </rPr>
      <t xml:space="preserve">Arcane Shell — </t>
    </r>
    <r>
      <rPr>
        <b val="true"/>
        <sz val="14"/>
        <rFont val="Noto Sans CJK SC"/>
        <family val="2"/>
      </rPr>
      <t xml:space="preserve">몬스터 스탯 곡선 가정</t>
    </r>
  </si>
  <si>
    <r>
      <rPr>
        <b val="true"/>
        <sz val="11"/>
        <color rgb="FF1F4E78"/>
        <rFont val="Noto Sans CJK SC"/>
        <family val="2"/>
      </rPr>
      <t xml:space="preserve">구간 설정 </t>
    </r>
    <r>
      <rPr>
        <b val="true"/>
        <sz val="11"/>
        <color rgb="FF1F4E78"/>
        <rFont val="Arial"/>
        <family val="0"/>
        <charset val="1"/>
      </rPr>
      <t xml:space="preserve">(4</t>
    </r>
    <r>
      <rPr>
        <b val="true"/>
        <sz val="11"/>
        <color rgb="FF1F4E78"/>
        <rFont val="Noto Sans CJK SC"/>
        <family val="2"/>
      </rPr>
      <t xml:space="preserve">단계</t>
    </r>
    <r>
      <rPr>
        <b val="true"/>
        <sz val="11"/>
        <color rgb="FF1F4E78"/>
        <rFont val="Arial"/>
        <family val="0"/>
        <charset val="1"/>
      </rPr>
      <t xml:space="preserve">)</t>
    </r>
  </si>
  <si>
    <t xml:space="preserve">총 티어 수</t>
  </si>
  <si>
    <t xml:space="preserve">초반 구간 끝 티어</t>
  </si>
  <si>
    <t xml:space="preserve">중반 구간 끝 티어</t>
  </si>
  <si>
    <r>
      <rPr>
        <sz val="11"/>
        <color theme="1"/>
        <rFont val="Noto Sans CJK SC"/>
        <family val="2"/>
      </rPr>
      <t xml:space="preserve">후반 구간 끝 티어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이후 엔드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</si>
  <si>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color rgb="FF1F4E78"/>
        <rFont val="Arial"/>
        <family val="0"/>
        <charset val="1"/>
      </rPr>
      <t xml:space="preserve">HP </t>
    </r>
    <r>
      <rPr>
        <b val="true"/>
        <sz val="11"/>
        <color rgb="FF1F4E78"/>
        <rFont val="Noto Sans CJK SC"/>
        <family val="2"/>
      </rPr>
      <t xml:space="preserve">곡선 </t>
    </r>
    <r>
      <rPr>
        <b val="true"/>
        <sz val="11"/>
        <color rgb="FF1F4E78"/>
        <rFont val="Arial"/>
        <family val="0"/>
        <charset val="1"/>
      </rPr>
      <t xml:space="preserve">(4</t>
    </r>
    <r>
      <rPr>
        <b val="true"/>
        <sz val="11"/>
        <color rgb="FF1F4E78"/>
        <rFont val="Noto Sans CJK SC"/>
        <family val="2"/>
      </rPr>
      <t xml:space="preserve">단계 가속</t>
    </r>
    <r>
      <rPr>
        <b val="true"/>
        <sz val="11"/>
        <color rgb="FF1F4E78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</si>
  <si>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티어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Calibri"/>
        <family val="2"/>
        <charset val="1"/>
      </rPr>
      <t xml:space="preserve">HP</t>
    </r>
  </si>
  <si>
    <r>
      <rPr>
        <sz val="11"/>
        <color theme="1"/>
        <rFont val="Noto Sans CJK SC"/>
        <family val="2"/>
      </rPr>
      <t xml:space="preserve">초반 구간 성장률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티어당</t>
    </r>
    <r>
      <rPr>
        <sz val="11"/>
        <color theme="1"/>
        <rFont val="Calibri"/>
        <family val="2"/>
        <charset val="1"/>
      </rPr>
      <t xml:space="preserve">, %)</t>
    </r>
  </si>
  <si>
    <r>
      <rPr>
        <sz val="11"/>
        <color theme="1"/>
        <rFont val="Noto Sans CJK SC"/>
        <family val="2"/>
      </rPr>
      <t xml:space="preserve">중반 구간 성장률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티어당</t>
    </r>
    <r>
      <rPr>
        <sz val="11"/>
        <color theme="1"/>
        <rFont val="Calibri"/>
        <family val="2"/>
        <charset val="1"/>
      </rPr>
      <t xml:space="preserve">, %)</t>
    </r>
  </si>
  <si>
    <r>
      <rPr>
        <sz val="11"/>
        <color theme="1"/>
        <rFont val="Noto Sans CJK SC"/>
        <family val="2"/>
      </rPr>
      <t xml:space="preserve">후반 구간 성장률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티어당</t>
    </r>
    <r>
      <rPr>
        <sz val="11"/>
        <color theme="1"/>
        <rFont val="Calibri"/>
        <family val="2"/>
        <charset val="1"/>
      </rPr>
      <t xml:space="preserve">, %)</t>
    </r>
  </si>
  <si>
    <r>
      <rPr>
        <sz val="11"/>
        <color theme="1"/>
        <rFont val="Noto Sans CJK SC"/>
        <family val="2"/>
      </rPr>
      <t xml:space="preserve">엔드 구간 성장률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티어당</t>
    </r>
    <r>
      <rPr>
        <sz val="11"/>
        <color theme="1"/>
        <rFont val="Calibri"/>
        <family val="2"/>
        <charset val="1"/>
      </rPr>
      <t xml:space="preserve">, %)</t>
    </r>
  </si>
  <si>
    <t xml:space="preserve">방어력 곡선</t>
  </si>
  <si>
    <r>
      <rPr>
        <sz val="11"/>
        <color theme="1"/>
        <rFont val="Noto Sans CJK SC"/>
        <family val="2"/>
      </rPr>
      <t xml:space="preserve">티어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기준 방어력</t>
    </r>
  </si>
  <si>
    <t xml:space="preserve">보스 설정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</si>
  <si>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미사용 — 보스는 이제 각 등급 마지막 티어로 고정</t>
    </r>
    <r>
      <rPr>
        <sz val="11"/>
        <color theme="1"/>
        <rFont val="Calibri"/>
        <family val="2"/>
        <charset val="1"/>
      </rPr>
      <t xml:space="preserve">: 5/10/14/18/22)</t>
    </r>
  </si>
  <si>
    <r>
      <rPr>
        <sz val="11"/>
        <color theme="1"/>
        <rFont val="Noto Sans CJK SC"/>
        <family val="2"/>
      </rPr>
      <t xml:space="preserve">보스 </t>
    </r>
    <r>
      <rPr>
        <sz val="11"/>
        <color theme="1"/>
        <rFont val="Calibri"/>
        <family val="2"/>
        <charset val="1"/>
      </rPr>
      <t xml:space="preserve">HP </t>
    </r>
    <r>
      <rPr>
        <sz val="11"/>
        <color theme="1"/>
        <rFont val="Noto Sans CJK SC"/>
        <family val="2"/>
      </rPr>
      <t xml:space="preserve">배율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동티어 일반 대비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</si>
  <si>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보스 방어력 배율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동티어 일반 대비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</si>
  <si>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color rgb="FF1F4E78"/>
        <rFont val="Noto Sans CJK SC"/>
        <family val="2"/>
      </rPr>
      <t xml:space="preserve">마석 등급 </t>
    </r>
    <r>
      <rPr>
        <b val="true"/>
        <sz val="11"/>
        <color rgb="FF1F4E78"/>
        <rFont val="Arial"/>
        <family val="0"/>
        <charset val="1"/>
      </rPr>
      <t xml:space="preserve">&amp; </t>
    </r>
    <r>
      <rPr>
        <b val="true"/>
        <sz val="11"/>
        <color rgb="FF1F4E78"/>
        <rFont val="Noto Sans CJK SC"/>
        <family val="2"/>
      </rPr>
      <t xml:space="preserve">드랍 설정</t>
    </r>
  </si>
  <si>
    <t xml:space="preserve">마석 등급 수</t>
  </si>
  <si>
    <r>
      <rPr>
        <sz val="11"/>
        <color theme="1"/>
        <rFont val="Noto Sans CJK SC"/>
        <family val="2"/>
      </rPr>
      <t xml:space="preserve">등급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끝 티어</t>
    </r>
  </si>
  <si>
    <r>
      <rPr>
        <sz val="11"/>
        <color theme="1"/>
        <rFont val="Noto Sans CJK SC"/>
        <family val="2"/>
      </rPr>
      <t xml:space="preserve">등급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끝 티어</t>
    </r>
  </si>
  <si>
    <r>
      <rPr>
        <sz val="11"/>
        <color theme="1"/>
        <rFont val="Noto Sans CJK SC"/>
        <family val="2"/>
      </rPr>
      <t xml:space="preserve">등급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끝 티어</t>
    </r>
  </si>
  <si>
    <r>
      <rPr>
        <sz val="11"/>
        <color theme="1"/>
        <rFont val="Noto Sans CJK SC"/>
        <family val="2"/>
      </rPr>
      <t xml:space="preserve">등급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끝 티어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이후 등급</t>
    </r>
    <r>
      <rPr>
        <sz val="11"/>
        <color theme="1"/>
        <rFont val="Calibri"/>
        <family val="2"/>
        <charset val="1"/>
      </rPr>
      <t xml:space="preserve">5)</t>
    </r>
  </si>
  <si>
    <r>
      <rPr>
        <sz val="11"/>
        <color theme="1"/>
        <rFont val="Noto Sans CJK SC"/>
        <family val="2"/>
      </rPr>
      <t xml:space="preserve">드랍 최소수량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등급 무관 고정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</si>
  <si>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등급 전환 직후 드랍 최대수량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급감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</si>
  <si>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등급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마지막 티어 최대수량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기준값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</si>
  <si>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등급별 최대수량 성장 배율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등급마다 복리</t>
    </r>
    <r>
      <rPr>
        <sz val="11"/>
        <color theme="1"/>
        <rFont val="Calibri"/>
        <family val="2"/>
        <charset val="1"/>
      </rPr>
      <t xml:space="preserve">)</t>
    </r>
  </si>
  <si>
    <t xml:space="preserve">보스 드랍 수량 배율</t>
  </si>
  <si>
    <r>
      <rPr>
        <i val="true"/>
        <sz val="9"/>
        <color rgb="FF808080"/>
        <rFont val="Noto Sans CJK SC"/>
        <family val="2"/>
      </rPr>
      <t xml:space="preserve">※ 드랍은 확률 판정 없이 </t>
    </r>
    <r>
      <rPr>
        <i val="true"/>
        <sz val="9"/>
        <color rgb="FF808080"/>
        <rFont val="Arial"/>
        <family val="0"/>
        <charset val="1"/>
      </rPr>
      <t xml:space="preserve">[</t>
    </r>
    <r>
      <rPr>
        <i val="true"/>
        <sz val="9"/>
        <color rgb="FF808080"/>
        <rFont val="Noto Sans CJK SC"/>
        <family val="2"/>
      </rPr>
      <t xml:space="preserve">최소수량</t>
    </r>
    <r>
      <rPr>
        <i val="true"/>
        <sz val="9"/>
        <color rgb="FF808080"/>
        <rFont val="Arial"/>
        <family val="0"/>
        <charset val="1"/>
      </rPr>
      <t xml:space="preserve">~</t>
    </r>
    <r>
      <rPr>
        <i val="true"/>
        <sz val="9"/>
        <color rgb="FF808080"/>
        <rFont val="Noto Sans CJK SC"/>
        <family val="2"/>
      </rPr>
      <t xml:space="preserve">최대수량</t>
    </r>
    <r>
      <rPr>
        <i val="true"/>
        <sz val="9"/>
        <color rgb="FF808080"/>
        <rFont val="Arial"/>
        <family val="0"/>
        <charset val="1"/>
      </rPr>
      <t xml:space="preserve">] </t>
    </r>
    <r>
      <rPr>
        <i val="true"/>
        <sz val="9"/>
        <color rgb="FF808080"/>
        <rFont val="Noto Sans CJK SC"/>
        <family val="2"/>
      </rPr>
      <t xml:space="preserve">범위에서 바로 결정됩니다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등급이 바뀌는 첫 티어는 최대수량이 낮게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등급 전환 직후 값</t>
    </r>
    <r>
      <rPr>
        <i val="true"/>
        <sz val="9"/>
        <color rgb="FF808080"/>
        <rFont val="Arial"/>
        <family val="0"/>
        <charset val="1"/>
      </rPr>
      <t xml:space="preserve">) </t>
    </r>
    <r>
      <rPr>
        <i val="true"/>
        <sz val="9"/>
        <color rgb="FF808080"/>
        <rFont val="Noto Sans CJK SC"/>
        <family val="2"/>
      </rPr>
      <t xml:space="preserve">리셋되고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</rPr>
      <t xml:space="preserve">같은 등급 안에서 티어가 오를수록 그 등급의 마지막 티어 최대수량까지 점진적으로 늘어납니다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등급이 오를수록 마지막 티어 최대수량 자체가 복리로 커져서 등급이 높을수록 등급 내 곡선이 더 가파릅니다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보스는 일반 최대수량을 보장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최소</t>
    </r>
    <r>
      <rPr>
        <i val="true"/>
        <sz val="9"/>
        <color rgb="FF808080"/>
        <rFont val="Arial"/>
        <family val="0"/>
        <charset val="1"/>
      </rPr>
      <t xml:space="preserve">) + </t>
    </r>
    <r>
      <rPr>
        <i val="true"/>
        <sz val="9"/>
        <color rgb="FF808080"/>
        <rFont val="Noto Sans CJK SC"/>
        <family val="2"/>
      </rPr>
      <t xml:space="preserve">배율 적용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최대</t>
    </r>
    <r>
      <rPr>
        <i val="true"/>
        <sz val="9"/>
        <color rgb="FF808080"/>
        <rFont val="Arial"/>
        <family val="0"/>
        <charset val="1"/>
      </rPr>
      <t xml:space="preserve">).</t>
    </r>
  </si>
  <si>
    <r>
      <rPr>
        <i val="true"/>
        <sz val="9"/>
        <color rgb="FF808080"/>
        <rFont val="Noto Sans CJK SC"/>
        <family val="2"/>
      </rPr>
      <t xml:space="preserve">※ 파란 글씨 </t>
    </r>
    <r>
      <rPr>
        <i val="true"/>
        <sz val="9"/>
        <color rgb="FF808080"/>
        <rFont val="Arial"/>
        <family val="0"/>
        <charset val="1"/>
      </rPr>
      <t xml:space="preserve">= </t>
    </r>
    <r>
      <rPr>
        <i val="true"/>
        <sz val="9"/>
        <color rgb="FF808080"/>
        <rFont val="Noto Sans CJK SC"/>
        <family val="2"/>
      </rPr>
      <t xml:space="preserve">조절 가능한 입력값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몬스터 스탯 시트가 이 값들을 참조해 자동 계산됩니다</t>
    </r>
    <r>
      <rPr>
        <i val="true"/>
        <sz val="9"/>
        <color rgb="FF808080"/>
        <rFont val="Arial"/>
        <family val="0"/>
        <charset val="1"/>
      </rPr>
      <t xml:space="preserve">.</t>
    </r>
  </si>
  <si>
    <t xml:space="preserve">티어별 몬스터 스탯</t>
  </si>
  <si>
    <t xml:space="preserve">티어</t>
  </si>
  <si>
    <t xml:space="preserve">구간</t>
  </si>
  <si>
    <t xml:space="preserve">종류</t>
  </si>
  <si>
    <t xml:space="preserve">HP</t>
  </si>
  <si>
    <r>
      <rPr>
        <b val="true"/>
        <sz val="11"/>
        <color rgb="FFFFFFFF"/>
        <rFont val="Noto Sans CJK SC"/>
        <family val="2"/>
      </rPr>
      <t xml:space="preserve">전티어 대비 </t>
    </r>
    <r>
      <rPr>
        <b val="true"/>
        <sz val="11"/>
        <color rgb="FFFFFFFF"/>
        <rFont val="Arial"/>
        <family val="0"/>
        <charset val="1"/>
      </rPr>
      <t xml:space="preserve">HP </t>
    </r>
    <r>
      <rPr>
        <b val="true"/>
        <sz val="11"/>
        <color rgb="FFFFFFFF"/>
        <rFont val="Noto Sans CJK SC"/>
        <family val="2"/>
      </rPr>
      <t xml:space="preserve">증가율</t>
    </r>
  </si>
  <si>
    <t xml:space="preserve">방어력</t>
  </si>
  <si>
    <t xml:space="preserve">전티어 대비 방어 증가율</t>
  </si>
  <si>
    <t xml:space="preserve">비고</t>
  </si>
  <si>
    <r>
      <rPr>
        <b val="true"/>
        <sz val="11"/>
        <color rgb="FFFFFFFF"/>
        <rFont val="Noto Sans CJK SC"/>
        <family val="2"/>
      </rPr>
      <t xml:space="preserve">보스 실제 </t>
    </r>
    <r>
      <rPr>
        <b val="true"/>
        <sz val="11"/>
        <color rgb="FFFFFFFF"/>
        <rFont val="Arial"/>
        <family val="0"/>
        <charset val="1"/>
      </rPr>
      <t xml:space="preserve">HP</t>
    </r>
  </si>
  <si>
    <t xml:space="preserve">보스 실제 방어력</t>
  </si>
  <si>
    <t xml:space="preserve">마석 등급</t>
  </si>
  <si>
    <t xml:space="preserve">등급 시작티어</t>
  </si>
  <si>
    <t xml:space="preserve">등급 끝티어</t>
  </si>
  <si>
    <r>
      <rPr>
        <b val="true"/>
        <sz val="11"/>
        <color rgb="FFFFFFFF"/>
        <rFont val="Noto Sans CJK SC"/>
        <family val="2"/>
      </rPr>
      <t xml:space="preserve">일반 최대수량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보간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</si>
  <si>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최종 최소수량</t>
  </si>
  <si>
    <t xml:space="preserve">최종 최대수량</t>
  </si>
  <si>
    <r>
      <rPr>
        <b val="true"/>
        <sz val="11"/>
        <color rgb="FFFFFFFF"/>
        <rFont val="Noto Sans CJK SC"/>
        <family val="2"/>
      </rPr>
      <t xml:space="preserve">비고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드랍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</si>
  <si>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-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</si>
</sst>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.0\x"/>
    <numFmt numFmtId="167" formatCode="0%"/>
    <numFmt numFmtId="168" formatCode="0\x"/>
    <numFmt numFmtId="169" formatCode="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1"/>
      <color rgb="FF1F4E78"/>
      <name val="Noto Sans CJK SC"/>
      <family val="2"/>
    </font>
    <font>
      <b val="true"/>
      <sz val="11"/>
      <color rgb="FF1F4E78"/>
      <name val="Arial"/>
      <family val="0"/>
      <charset val="1"/>
    </font>
    <font>
      <sz val="11"/>
      <color theme="1"/>
      <name val="Noto Sans CJK SC"/>
      <family val="2"/>
    </font>
    <font>
      <sz val="11"/>
      <color rgb="FF0000FF"/>
      <name val="Arial"/>
      <family val="0"/>
      <charset val="1"/>
    </font>
    <font>
      <i val="true"/>
      <sz val="9"/>
      <color rgb="FF808080"/>
      <name val="Noto Sans CJK SC"/>
      <family val="2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72C4"/>
        <bgColor rgb="FF4A7EB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티어별 HP 성장 곡선 (일반)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'몬스터 스탯'!D3</c:f>
              <c:strCache>
                <c:ptCount val="1"/>
                <c:pt idx="0">
                  <c:v>HP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'몬스터 스탯'!$A$4:$A$25</c:f>
              <c:strCach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strCache>
            </c:strRef>
          </c:cat>
          <c:val>
            <c:numRef>
              <c:f>'몬스터 스탯'!$D$4:$D$25</c:f>
              <c:numCache>
                <c:formatCode>#,##0</c:formatCode>
                <c:ptCount val="22"/>
                <c:pt idx="0">
                  <c:v>50</c:v>
                </c:pt>
                <c:pt idx="1">
                  <c:v>75</c:v>
                </c:pt>
                <c:pt idx="2">
                  <c:v>112.5</c:v>
                </c:pt>
                <c:pt idx="3">
                  <c:v>168.75</c:v>
                </c:pt>
                <c:pt idx="4">
                  <c:v>253.125</c:v>
                </c:pt>
                <c:pt idx="5">
                  <c:v>379.6875</c:v>
                </c:pt>
                <c:pt idx="6">
                  <c:v>759.375</c:v>
                </c:pt>
                <c:pt idx="7">
                  <c:v>1518.75</c:v>
                </c:pt>
                <c:pt idx="8">
                  <c:v>3037.5</c:v>
                </c:pt>
                <c:pt idx="9">
                  <c:v>6075</c:v>
                </c:pt>
                <c:pt idx="10">
                  <c:v>12150</c:v>
                </c:pt>
                <c:pt idx="11">
                  <c:v>24300</c:v>
                </c:pt>
                <c:pt idx="12">
                  <c:v>66825</c:v>
                </c:pt>
                <c:pt idx="13">
                  <c:v>183768.75</c:v>
                </c:pt>
                <c:pt idx="14">
                  <c:v>505364.0625</c:v>
                </c:pt>
                <c:pt idx="15">
                  <c:v>1389751.171875</c:v>
                </c:pt>
                <c:pt idx="16">
                  <c:v>3821815.72265625</c:v>
                </c:pt>
                <c:pt idx="17">
                  <c:v>15287262.890625</c:v>
                </c:pt>
                <c:pt idx="18">
                  <c:v>61149051.5625</c:v>
                </c:pt>
                <c:pt idx="19">
                  <c:v>244596206.25</c:v>
                </c:pt>
                <c:pt idx="20">
                  <c:v>978384825</c:v>
                </c:pt>
                <c:pt idx="21">
                  <c:v>3913539300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983659"/>
        <c:axId val="81481482"/>
      </c:lineChart>
      <c:catAx>
        <c:axId val="99836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티어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481482"/>
        <c:crosses val="autoZero"/>
        <c:auto val="1"/>
        <c:lblAlgn val="ctr"/>
        <c:lblOffset val="100"/>
        <c:noMultiLvlLbl val="0"/>
      </c:catAx>
      <c:valAx>
        <c:axId val="814814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836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티어별 방어력 성장 곡선 (일반)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'몬스터 스탯'!F3</c:f>
              <c:strCache>
                <c:ptCount val="1"/>
                <c:pt idx="0">
                  <c:v>방어력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'몬스터 스탯'!$A$4:$A$25</c:f>
              <c:strCach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strCache>
            </c:strRef>
          </c:cat>
          <c:val>
            <c:numRef>
              <c:f>'몬스터 스탯'!$F$4:$F$25</c:f>
              <c:numCache>
                <c:formatCode>#,##0</c:formatCode>
                <c:ptCount val="22"/>
                <c:pt idx="0">
                  <c:v>5</c:v>
                </c:pt>
                <c:pt idx="1">
                  <c:v>5.5</c:v>
                </c:pt>
                <c:pt idx="2">
                  <c:v>6.05</c:v>
                </c:pt>
                <c:pt idx="3">
                  <c:v>6.655</c:v>
                </c:pt>
                <c:pt idx="4">
                  <c:v>7.3205</c:v>
                </c:pt>
                <c:pt idx="5">
                  <c:v>8.05255</c:v>
                </c:pt>
                <c:pt idx="6">
                  <c:v>9.2604325</c:v>
                </c:pt>
                <c:pt idx="7">
                  <c:v>10.649497375</c:v>
                </c:pt>
                <c:pt idx="8">
                  <c:v>12.24692198125</c:v>
                </c:pt>
                <c:pt idx="9">
                  <c:v>14.0839602784375</c:v>
                </c:pt>
                <c:pt idx="10">
                  <c:v>16.1965543202031</c:v>
                </c:pt>
                <c:pt idx="11">
                  <c:v>18.6260374682336</c:v>
                </c:pt>
                <c:pt idx="12">
                  <c:v>22.3512449618803</c:v>
                </c:pt>
                <c:pt idx="13">
                  <c:v>26.8214939542564</c:v>
                </c:pt>
                <c:pt idx="14">
                  <c:v>32.1857927451076</c:v>
                </c:pt>
                <c:pt idx="15">
                  <c:v>38.6229512941292</c:v>
                </c:pt>
                <c:pt idx="16">
                  <c:v>46.347541552955</c:v>
                </c:pt>
                <c:pt idx="17">
                  <c:v>57.9344269411938</c:v>
                </c:pt>
                <c:pt idx="18">
                  <c:v>72.4180336764922</c:v>
                </c:pt>
                <c:pt idx="19">
                  <c:v>90.5225420956152</c:v>
                </c:pt>
                <c:pt idx="20">
                  <c:v>113.153177619519</c:v>
                </c:pt>
                <c:pt idx="21">
                  <c:v>141.441472024399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917188"/>
        <c:axId val="73475256"/>
      </c:lineChart>
      <c:catAx>
        <c:axId val="189171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티어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75256"/>
        <c:crosses val="autoZero"/>
        <c:auto val="1"/>
        <c:lblAlgn val="ctr"/>
        <c:lblOffset val="100"/>
        <c:noMultiLvlLbl val="0"/>
      </c:catAx>
      <c:valAx>
        <c:axId val="734752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방어력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9171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160560</xdr:rowOff>
    </xdr:from>
    <xdr:to>
      <xdr:col>17</xdr:col>
      <xdr:colOff>276840</xdr:colOff>
      <xdr:row>18</xdr:row>
      <xdr:rowOff>134280</xdr:rowOff>
    </xdr:to>
    <xdr:graphicFrame>
      <xdr:nvGraphicFramePr>
        <xdr:cNvPr id="0" name="Chart 1"/>
        <xdr:cNvGraphicFramePr/>
      </xdr:nvGraphicFramePr>
      <xdr:xfrm>
        <a:off x="1043172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19</xdr:row>
      <xdr:rowOff>133200</xdr:rowOff>
    </xdr:from>
    <xdr:to>
      <xdr:col>17</xdr:col>
      <xdr:colOff>276840</xdr:colOff>
      <xdr:row>36</xdr:row>
      <xdr:rowOff>134280</xdr:rowOff>
    </xdr:to>
    <xdr:graphicFrame>
      <xdr:nvGraphicFramePr>
        <xdr:cNvPr id="1" name="Chart 2"/>
        <xdr:cNvGraphicFramePr/>
      </xdr:nvGraphicFramePr>
      <xdr:xfrm>
        <a:off x="10431720" y="3809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3"/>
    <col collapsed="false" customWidth="true" hidden="false" outlineLevel="0" max="4" min="4" style="0" width="14"/>
  </cols>
  <sheetData>
    <row r="2" customFormat="false" ht="21.6" hidden="false" customHeight="false" outlineLevel="0" collapsed="false">
      <c r="B2" s="1" t="s">
        <v>0</v>
      </c>
    </row>
    <row r="4" customFormat="false" ht="17.15" hidden="false" customHeight="false" outlineLevel="0" collapsed="false">
      <c r="B4" s="2" t="s">
        <v>1</v>
      </c>
      <c r="D4" s="3"/>
    </row>
    <row r="5" customFormat="false" ht="15" hidden="false" customHeight="false" outlineLevel="0" collapsed="false">
      <c r="B5" s="4" t="s">
        <v>2</v>
      </c>
      <c r="D5" s="5" t="n">
        <v>22</v>
      </c>
    </row>
    <row r="6" customFormat="false" ht="15" hidden="false" customHeight="false" outlineLevel="0" collapsed="false">
      <c r="B6" s="4" t="s">
        <v>3</v>
      </c>
      <c r="D6" s="5" t="n">
        <v>6</v>
      </c>
    </row>
    <row r="7" customFormat="false" ht="15" hidden="false" customHeight="false" outlineLevel="0" collapsed="false">
      <c r="B7" s="4" t="s">
        <v>4</v>
      </c>
      <c r="D7" s="5" t="n">
        <v>12</v>
      </c>
    </row>
    <row r="8" customFormat="false" ht="17.15" hidden="false" customHeight="false" outlineLevel="0" collapsed="false">
      <c r="B8" s="4" t="s">
        <v>5</v>
      </c>
      <c r="D8" s="5" t="n">
        <v>17</v>
      </c>
    </row>
    <row r="9" customFormat="false" ht="15" hidden="false" customHeight="false" outlineLevel="0" collapsed="false">
      <c r="B9" s="3"/>
      <c r="D9" s="3"/>
    </row>
    <row r="10" customFormat="false" ht="17.15" hidden="false" customHeight="false" outlineLevel="0" collapsed="false">
      <c r="B10" s="6" t="s">
        <v>6</v>
      </c>
      <c r="D10" s="3"/>
    </row>
    <row r="11" customFormat="false" ht="17.15" hidden="false" customHeight="false" outlineLevel="0" collapsed="false">
      <c r="B11" s="4" t="s">
        <v>7</v>
      </c>
      <c r="D11" s="5" t="n">
        <v>50</v>
      </c>
    </row>
    <row r="12" customFormat="false" ht="17.15" hidden="false" customHeight="false" outlineLevel="0" collapsed="false">
      <c r="B12" s="4" t="s">
        <v>8</v>
      </c>
      <c r="D12" s="7" t="n">
        <v>0.5</v>
      </c>
    </row>
    <row r="13" customFormat="false" ht="17.15" hidden="false" customHeight="false" outlineLevel="0" collapsed="false">
      <c r="B13" s="4" t="s">
        <v>9</v>
      </c>
      <c r="D13" s="7" t="n">
        <v>1</v>
      </c>
    </row>
    <row r="14" customFormat="false" ht="17.15" hidden="false" customHeight="false" outlineLevel="0" collapsed="false">
      <c r="B14" s="4" t="s">
        <v>10</v>
      </c>
      <c r="D14" s="7" t="n">
        <v>1.75</v>
      </c>
    </row>
    <row r="15" customFormat="false" ht="17.15" hidden="false" customHeight="false" outlineLevel="0" collapsed="false">
      <c r="B15" s="4" t="s">
        <v>11</v>
      </c>
      <c r="D15" s="7" t="n">
        <v>3</v>
      </c>
    </row>
    <row r="16" customFormat="false" ht="15" hidden="false" customHeight="false" outlineLevel="0" collapsed="false">
      <c r="B16" s="3"/>
      <c r="D16" s="3"/>
    </row>
    <row r="17" customFormat="false" ht="15" hidden="false" customHeight="false" outlineLevel="0" collapsed="false">
      <c r="B17" s="2" t="s">
        <v>12</v>
      </c>
      <c r="D17" s="3"/>
    </row>
    <row r="18" customFormat="false" ht="17.15" hidden="false" customHeight="false" outlineLevel="0" collapsed="false">
      <c r="B18" s="4" t="s">
        <v>13</v>
      </c>
      <c r="D18" s="5" t="n">
        <v>5</v>
      </c>
    </row>
    <row r="19" customFormat="false" ht="17.15" hidden="false" customHeight="false" outlineLevel="0" collapsed="false">
      <c r="B19" s="4" t="s">
        <v>8</v>
      </c>
      <c r="D19" s="7" t="n">
        <v>0.1</v>
      </c>
    </row>
    <row r="20" customFormat="false" ht="17.15" hidden="false" customHeight="false" outlineLevel="0" collapsed="false">
      <c r="B20" s="4" t="s">
        <v>9</v>
      </c>
      <c r="D20" s="7" t="n">
        <v>0.15</v>
      </c>
    </row>
    <row r="21" customFormat="false" ht="17.15" hidden="false" customHeight="false" outlineLevel="0" collapsed="false">
      <c r="B21" s="4" t="s">
        <v>10</v>
      </c>
      <c r="D21" s="7" t="n">
        <v>0.2</v>
      </c>
    </row>
    <row r="22" customFormat="false" ht="17.15" hidden="false" customHeight="false" outlineLevel="0" collapsed="false">
      <c r="B22" s="4" t="s">
        <v>11</v>
      </c>
      <c r="D22" s="7" t="n">
        <v>0.25</v>
      </c>
    </row>
    <row r="23" customFormat="false" ht="15" hidden="false" customHeight="false" outlineLevel="0" collapsed="false">
      <c r="B23" s="3"/>
      <c r="D23" s="3"/>
    </row>
    <row r="24" customFormat="false" ht="15" hidden="false" customHeight="false" outlineLevel="0" collapsed="false">
      <c r="B24" s="2" t="s">
        <v>14</v>
      </c>
      <c r="D24" s="3"/>
    </row>
    <row r="25" customFormat="false" ht="17.15" hidden="false" customHeight="false" outlineLevel="0" collapsed="false">
      <c r="B25" s="3" t="s">
        <v>15</v>
      </c>
      <c r="D25" s="5" t="n">
        <v>5</v>
      </c>
    </row>
    <row r="26" customFormat="false" ht="17.15" hidden="false" customHeight="false" outlineLevel="0" collapsed="false">
      <c r="B26" s="4" t="s">
        <v>16</v>
      </c>
      <c r="D26" s="8" t="n">
        <v>5</v>
      </c>
    </row>
    <row r="27" customFormat="false" ht="17.15" hidden="false" customHeight="false" outlineLevel="0" collapsed="false">
      <c r="B27" s="4" t="s">
        <v>17</v>
      </c>
      <c r="D27" s="8" t="n">
        <v>2</v>
      </c>
    </row>
    <row r="29" customFormat="false" ht="17.15" hidden="false" customHeight="false" outlineLevel="0" collapsed="false">
      <c r="B29" s="2" t="s">
        <v>18</v>
      </c>
      <c r="D29" s="3"/>
    </row>
    <row r="30" customFormat="false" ht="15" hidden="false" customHeight="false" outlineLevel="0" collapsed="false">
      <c r="B30" s="4" t="s">
        <v>19</v>
      </c>
      <c r="D30" s="5" t="n">
        <v>5</v>
      </c>
    </row>
    <row r="31" customFormat="false" ht="17.15" hidden="false" customHeight="false" outlineLevel="0" collapsed="false">
      <c r="B31" s="4" t="s">
        <v>20</v>
      </c>
      <c r="D31" s="5" t="n">
        <v>5</v>
      </c>
    </row>
    <row r="32" customFormat="false" ht="17.15" hidden="false" customHeight="false" outlineLevel="0" collapsed="false">
      <c r="B32" s="4" t="s">
        <v>21</v>
      </c>
      <c r="D32" s="5" t="n">
        <v>10</v>
      </c>
    </row>
    <row r="33" customFormat="false" ht="17.15" hidden="false" customHeight="false" outlineLevel="0" collapsed="false">
      <c r="B33" s="4" t="s">
        <v>22</v>
      </c>
      <c r="D33" s="5" t="n">
        <v>14</v>
      </c>
    </row>
    <row r="34" customFormat="false" ht="17.15" hidden="false" customHeight="false" outlineLevel="0" collapsed="false">
      <c r="B34" s="4" t="s">
        <v>23</v>
      </c>
      <c r="D34" s="5" t="n">
        <v>18</v>
      </c>
    </row>
    <row r="35" customFormat="false" ht="17.15" hidden="false" customHeight="false" outlineLevel="0" collapsed="false">
      <c r="B35" s="4" t="s">
        <v>24</v>
      </c>
      <c r="D35" s="5" t="n">
        <v>0</v>
      </c>
    </row>
    <row r="36" customFormat="false" ht="17.15" hidden="false" customHeight="false" outlineLevel="0" collapsed="false">
      <c r="B36" s="4" t="s">
        <v>25</v>
      </c>
      <c r="D36" s="5" t="n">
        <v>2</v>
      </c>
    </row>
    <row r="37" customFormat="false" ht="17.15" hidden="false" customHeight="false" outlineLevel="0" collapsed="false">
      <c r="B37" s="4" t="s">
        <v>26</v>
      </c>
      <c r="D37" s="5" t="n">
        <v>10</v>
      </c>
    </row>
    <row r="38" customFormat="false" ht="17.15" hidden="false" customHeight="false" outlineLevel="0" collapsed="false">
      <c r="B38" s="4" t="s">
        <v>27</v>
      </c>
      <c r="D38" s="9" t="n">
        <v>0.5</v>
      </c>
    </row>
    <row r="39" customFormat="false" ht="15" hidden="false" customHeight="false" outlineLevel="0" collapsed="false">
      <c r="B39" s="4" t="s">
        <v>28</v>
      </c>
      <c r="D39" s="10" t="n">
        <v>3</v>
      </c>
    </row>
    <row r="41" customFormat="false" ht="60" hidden="false" customHeight="true" outlineLevel="0" collapsed="false">
      <c r="B41" s="11" t="s">
        <v>29</v>
      </c>
    </row>
    <row r="43" customFormat="false" ht="15" hidden="false" customHeight="false" outlineLevel="0" collapsed="false">
      <c r="B43" s="1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3" min="12" style="0" width="14"/>
    <col collapsed="false" customWidth="true" hidden="false" outlineLevel="0" max="16" min="14" style="0" width="12"/>
    <col collapsed="false" customWidth="true" hidden="false" outlineLevel="0" max="17" min="17" style="0" width="24"/>
  </cols>
  <sheetData>
    <row r="1" customFormat="false" ht="17.35" hidden="false" customHeight="false" outlineLevel="0" collapsed="false">
      <c r="A1" s="13" t="s">
        <v>31</v>
      </c>
    </row>
    <row r="3" customFormat="false" ht="17.15" hidden="false" customHeight="false" outlineLevel="0" collapsed="false">
      <c r="A3" s="14" t="s">
        <v>32</v>
      </c>
      <c r="B3" s="14" t="s">
        <v>33</v>
      </c>
      <c r="C3" s="14" t="s">
        <v>34</v>
      </c>
      <c r="D3" s="15" t="s">
        <v>35</v>
      </c>
      <c r="E3" s="14" t="s">
        <v>36</v>
      </c>
      <c r="F3" s="14" t="s">
        <v>37</v>
      </c>
      <c r="G3" s="14" t="s">
        <v>38</v>
      </c>
      <c r="H3" s="14" t="s">
        <v>39</v>
      </c>
      <c r="I3" s="16" t="s">
        <v>40</v>
      </c>
      <c r="J3" s="16" t="s">
        <v>41</v>
      </c>
      <c r="K3" s="14" t="s">
        <v>42</v>
      </c>
      <c r="L3" s="14" t="s">
        <v>43</v>
      </c>
      <c r="M3" s="14" t="s">
        <v>44</v>
      </c>
      <c r="N3" s="14" t="s">
        <v>45</v>
      </c>
      <c r="O3" s="14" t="s">
        <v>46</v>
      </c>
      <c r="P3" s="14" t="s">
        <v>47</v>
      </c>
      <c r="Q3" s="14" t="s">
        <v>48</v>
      </c>
    </row>
    <row r="4" customFormat="false" ht="15" hidden="false" customHeight="false" outlineLevel="0" collapsed="false">
      <c r="A4" s="17" t="n">
        <v>1</v>
      </c>
      <c r="B4" s="17" t="str">
        <f aca="false">IF(A4&lt;=가정!$D$6,"초반",IF(A4&lt;=가정!$D$7,"중반",IF(A4&lt;=가정!$D$8,"후반","엔드")))</f>
        <v>초반</v>
      </c>
      <c r="C4" s="17" t="str">
        <f aca="false">IF(OR(A4=가정!$D$31,A4=가정!$D$32,A4=가정!$D$33,A4=가정!$D$34,A4=가정!$D$5),"보스","일반")</f>
        <v>일반</v>
      </c>
      <c r="D4" s="18" t="n">
        <f aca="false">가정!$D$11</f>
        <v>50</v>
      </c>
      <c r="E4" s="19" t="s">
        <v>49</v>
      </c>
      <c r="F4" s="18" t="n">
        <f aca="false">가정!$D$18</f>
        <v>5</v>
      </c>
      <c r="G4" s="19" t="s">
        <v>49</v>
      </c>
      <c r="H4" s="20"/>
      <c r="I4" s="18" t="str">
        <f aca="false">IF(C4="보스",D4*가정!$D$26,"-")</f>
        <v>-</v>
      </c>
      <c r="J4" s="18" t="str">
        <f aca="false">IF(C4="보스",F4*가정!$D$27,"-")</f>
        <v>-</v>
      </c>
      <c r="K4" s="17" t="n">
        <f aca="false">IF(A4&lt;=가정!$D$31,1,IF(A4&lt;=가정!$D$32,2,IF(A4&lt;=가정!$D$33,3,IF(A4&lt;=가정!$D$34,4,5))))</f>
        <v>1</v>
      </c>
      <c r="L4" s="17" t="n">
        <f aca="false">IF(K4=1,1,IF(K4=2,가정!$D$31+1,IF(K4=3,가정!$D$32+1,IF(K4=4,가정!$D$33+1,가정!$D$34+1))))</f>
        <v>1</v>
      </c>
      <c r="M4" s="17" t="n">
        <f aca="false">IF(K4=1,가정!$D$31,IF(K4=2,가정!$D$32,IF(K4=3,가정!$D$33,IF(K4=4,가정!$D$34,가정!$D$5))))</f>
        <v>5</v>
      </c>
      <c r="N4" s="17" t="n">
        <f aca="false">ROUND(가정!$D$36+(가정!$D$37*(1+가정!$D$38)^(K4-1)-가정!$D$36)*(A4-L4)/(M4-L4),0)</f>
        <v>2</v>
      </c>
      <c r="O4" s="17" t="n">
        <f aca="false">IF(C4="보스",N4,가정!$D$35)</f>
        <v>0</v>
      </c>
      <c r="P4" s="17" t="n">
        <f aca="false">IF(C4="보스",ROUND(N4*가정!$D$39,0),N4)</f>
        <v>2</v>
      </c>
      <c r="Q4" s="19" t="str">
        <f aca="false">IF(C4="보스","보스 고유 재화 별도 지급","")</f>
        <v/>
      </c>
    </row>
    <row r="5" customFormat="false" ht="15" hidden="false" customHeight="false" outlineLevel="0" collapsed="false">
      <c r="A5" s="17" t="n">
        <v>2</v>
      </c>
      <c r="B5" s="17" t="str">
        <f aca="false">IF(A5&lt;=가정!$D$6,"초반",IF(A5&lt;=가정!$D$7,"중반",IF(A5&lt;=가정!$D$8,"후반","엔드")))</f>
        <v>초반</v>
      </c>
      <c r="C5" s="17" t="str">
        <f aca="false">IF(OR(A5=가정!$D$31,A5=가정!$D$32,A5=가정!$D$33,A5=가정!$D$34,A5=가정!$D$5),"보스","일반")</f>
        <v>일반</v>
      </c>
      <c r="D5" s="18" t="n">
        <f aca="false">D4*(1+IF(B5="초반",가정!$D$12,IF(B5="중반",가정!$D$13,IF(B5="후반",가정!$D$14,가정!$D$15))))</f>
        <v>75</v>
      </c>
      <c r="E5" s="21" t="n">
        <f aca="false">D5/D4-1</f>
        <v>0.5</v>
      </c>
      <c r="F5" s="18" t="n">
        <f aca="false">F4*(1+IF(B5="초반",가정!$D$19,IF(B5="중반",가정!$D$20,IF(B5="후반",가정!$D$21,가정!$D$22))))</f>
        <v>5.5</v>
      </c>
      <c r="G5" s="21" t="n">
        <f aca="false">F5/F4-1</f>
        <v>0.1</v>
      </c>
      <c r="H5" s="20"/>
      <c r="I5" s="18" t="str">
        <f aca="false">IF(C5="보스",D5*가정!$D$26,"-")</f>
        <v>-</v>
      </c>
      <c r="J5" s="18" t="str">
        <f aca="false">IF(C5="보스",F5*가정!$D$27,"-")</f>
        <v>-</v>
      </c>
      <c r="K5" s="17" t="n">
        <f aca="false">IF(A5&lt;=가정!$D$31,1,IF(A5&lt;=가정!$D$32,2,IF(A5&lt;=가정!$D$33,3,IF(A5&lt;=가정!$D$34,4,5))))</f>
        <v>1</v>
      </c>
      <c r="L5" s="17" t="n">
        <f aca="false">IF(K5=1,1,IF(K5=2,가정!$D$31+1,IF(K5=3,가정!$D$32+1,IF(K5=4,가정!$D$33+1,가정!$D$34+1))))</f>
        <v>1</v>
      </c>
      <c r="M5" s="17" t="n">
        <f aca="false">IF(K5=1,가정!$D$31,IF(K5=2,가정!$D$32,IF(K5=3,가정!$D$33,IF(K5=4,가정!$D$34,가정!$D$5))))</f>
        <v>5</v>
      </c>
      <c r="N5" s="17" t="n">
        <f aca="false">ROUND(가정!$D$36+(가정!$D$37*(1+가정!$D$38)^(K5-1)-가정!$D$36)*(A5-L5)/(M5-L5),0)</f>
        <v>4</v>
      </c>
      <c r="O5" s="17" t="n">
        <f aca="false">IF(C5="보스",N5,가정!$D$35)</f>
        <v>0</v>
      </c>
      <c r="P5" s="17" t="n">
        <f aca="false">IF(C5="보스",ROUND(N5*가정!$D$39,0),N5)</f>
        <v>4</v>
      </c>
      <c r="Q5" s="19" t="str">
        <f aca="false">IF(C5="보스","보스 고유 재화 별도 지급","")</f>
        <v/>
      </c>
    </row>
    <row r="6" customFormat="false" ht="15" hidden="false" customHeight="false" outlineLevel="0" collapsed="false">
      <c r="A6" s="17" t="n">
        <v>3</v>
      </c>
      <c r="B6" s="17" t="str">
        <f aca="false">IF(A6&lt;=가정!$D$6,"초반",IF(A6&lt;=가정!$D$7,"중반",IF(A6&lt;=가정!$D$8,"후반","엔드")))</f>
        <v>초반</v>
      </c>
      <c r="C6" s="17" t="str">
        <f aca="false">IF(OR(A6=가정!$D$31,A6=가정!$D$32,A6=가정!$D$33,A6=가정!$D$34,A6=가정!$D$5),"보스","일반")</f>
        <v>일반</v>
      </c>
      <c r="D6" s="18" t="n">
        <f aca="false">D5*(1+IF(B6="초반",가정!$D$12,IF(B6="중반",가정!$D$13,IF(B6="후반",가정!$D$14,가정!$D$15))))</f>
        <v>112.5</v>
      </c>
      <c r="E6" s="21" t="n">
        <f aca="false">D6/D5-1</f>
        <v>0.5</v>
      </c>
      <c r="F6" s="18" t="n">
        <f aca="false">F5*(1+IF(B6="초반",가정!$D$19,IF(B6="중반",가정!$D$20,IF(B6="후반",가정!$D$21,가정!$D$22))))</f>
        <v>6.05</v>
      </c>
      <c r="G6" s="21" t="n">
        <f aca="false">F6/F5-1</f>
        <v>0.1</v>
      </c>
      <c r="H6" s="20"/>
      <c r="I6" s="18" t="str">
        <f aca="false">IF(C6="보스",D6*가정!$D$26,"-")</f>
        <v>-</v>
      </c>
      <c r="J6" s="18" t="str">
        <f aca="false">IF(C6="보스",F6*가정!$D$27,"-")</f>
        <v>-</v>
      </c>
      <c r="K6" s="17" t="n">
        <f aca="false">IF(A6&lt;=가정!$D$31,1,IF(A6&lt;=가정!$D$32,2,IF(A6&lt;=가정!$D$33,3,IF(A6&lt;=가정!$D$34,4,5))))</f>
        <v>1</v>
      </c>
      <c r="L6" s="17" t="n">
        <f aca="false">IF(K6=1,1,IF(K6=2,가정!$D$31+1,IF(K6=3,가정!$D$32+1,IF(K6=4,가정!$D$33+1,가정!$D$34+1))))</f>
        <v>1</v>
      </c>
      <c r="M6" s="17" t="n">
        <f aca="false">IF(K6=1,가정!$D$31,IF(K6=2,가정!$D$32,IF(K6=3,가정!$D$33,IF(K6=4,가정!$D$34,가정!$D$5))))</f>
        <v>5</v>
      </c>
      <c r="N6" s="17" t="n">
        <f aca="false">ROUND(가정!$D$36+(가정!$D$37*(1+가정!$D$38)^(K6-1)-가정!$D$36)*(A6-L6)/(M6-L6),0)</f>
        <v>6</v>
      </c>
      <c r="O6" s="17" t="n">
        <f aca="false">IF(C6="보스",N6,가정!$D$35)</f>
        <v>0</v>
      </c>
      <c r="P6" s="17" t="n">
        <f aca="false">IF(C6="보스",ROUND(N6*가정!$D$39,0),N6)</f>
        <v>6</v>
      </c>
      <c r="Q6" s="19" t="str">
        <f aca="false">IF(C6="보스","보스 고유 재화 별도 지급","")</f>
        <v/>
      </c>
    </row>
    <row r="7" customFormat="false" ht="15" hidden="false" customHeight="false" outlineLevel="0" collapsed="false">
      <c r="A7" s="17" t="n">
        <v>4</v>
      </c>
      <c r="B7" s="17" t="str">
        <f aca="false">IF(A7&lt;=가정!$D$6,"초반",IF(A7&lt;=가정!$D$7,"중반",IF(A7&lt;=가정!$D$8,"후반","엔드")))</f>
        <v>초반</v>
      </c>
      <c r="C7" s="17" t="str">
        <f aca="false">IF(OR(A7=가정!$D$31,A7=가정!$D$32,A7=가정!$D$33,A7=가정!$D$34,A7=가정!$D$5),"보스","일반")</f>
        <v>일반</v>
      </c>
      <c r="D7" s="18" t="n">
        <f aca="false">D6*(1+IF(B7="초반",가정!$D$12,IF(B7="중반",가정!$D$13,IF(B7="후반",가정!$D$14,가정!$D$15))))</f>
        <v>168.75</v>
      </c>
      <c r="E7" s="21" t="n">
        <f aca="false">D7/D6-1</f>
        <v>0.5</v>
      </c>
      <c r="F7" s="18" t="n">
        <f aca="false">F6*(1+IF(B7="초반",가정!$D$19,IF(B7="중반",가정!$D$20,IF(B7="후반",가정!$D$21,가정!$D$22))))</f>
        <v>6.655</v>
      </c>
      <c r="G7" s="21" t="n">
        <f aca="false">F7/F6-1</f>
        <v>0.1</v>
      </c>
      <c r="H7" s="20"/>
      <c r="I7" s="18" t="str">
        <f aca="false">IF(C7="보스",D7*가정!$D$26,"-")</f>
        <v>-</v>
      </c>
      <c r="J7" s="18" t="str">
        <f aca="false">IF(C7="보스",F7*가정!$D$27,"-")</f>
        <v>-</v>
      </c>
      <c r="K7" s="17" t="n">
        <f aca="false">IF(A7&lt;=가정!$D$31,1,IF(A7&lt;=가정!$D$32,2,IF(A7&lt;=가정!$D$33,3,IF(A7&lt;=가정!$D$34,4,5))))</f>
        <v>1</v>
      </c>
      <c r="L7" s="17" t="n">
        <f aca="false">IF(K7=1,1,IF(K7=2,가정!$D$31+1,IF(K7=3,가정!$D$32+1,IF(K7=4,가정!$D$33+1,가정!$D$34+1))))</f>
        <v>1</v>
      </c>
      <c r="M7" s="17" t="n">
        <f aca="false">IF(K7=1,가정!$D$31,IF(K7=2,가정!$D$32,IF(K7=3,가정!$D$33,IF(K7=4,가정!$D$34,가정!$D$5))))</f>
        <v>5</v>
      </c>
      <c r="N7" s="17" t="n">
        <f aca="false">ROUND(가정!$D$36+(가정!$D$37*(1+가정!$D$38)^(K7-1)-가정!$D$36)*(A7-L7)/(M7-L7),0)</f>
        <v>8</v>
      </c>
      <c r="O7" s="17" t="n">
        <f aca="false">IF(C7="보스",N7,가정!$D$35)</f>
        <v>0</v>
      </c>
      <c r="P7" s="17" t="n">
        <f aca="false">IF(C7="보스",ROUND(N7*가정!$D$39,0),N7)</f>
        <v>8</v>
      </c>
      <c r="Q7" s="19" t="str">
        <f aca="false">IF(C7="보스","보스 고유 재화 별도 지급","")</f>
        <v/>
      </c>
    </row>
    <row r="8" customFormat="false" ht="15" hidden="false" customHeight="false" outlineLevel="0" collapsed="false">
      <c r="A8" s="17" t="n">
        <v>5</v>
      </c>
      <c r="B8" s="17" t="str">
        <f aca="false">IF(A8&lt;=가정!$D$6,"초반",IF(A8&lt;=가정!$D$7,"중반",IF(A8&lt;=가정!$D$8,"후반","엔드")))</f>
        <v>초반</v>
      </c>
      <c r="C8" s="17" t="str">
        <f aca="false">IF(OR(A8=가정!$D$31,A8=가정!$D$32,A8=가정!$D$33,A8=가정!$D$34,A8=가정!$D$5),"보스","일반")</f>
        <v>보스</v>
      </c>
      <c r="D8" s="18" t="n">
        <f aca="false">D7*(1+IF(B8="초반",가정!$D$12,IF(B8="중반",가정!$D$13,IF(B8="후반",가정!$D$14,가정!$D$15))))</f>
        <v>253.125</v>
      </c>
      <c r="E8" s="21" t="n">
        <f aca="false">D8/D7-1</f>
        <v>0.5</v>
      </c>
      <c r="F8" s="18" t="n">
        <f aca="false">F7*(1+IF(B8="초반",가정!$D$19,IF(B8="중반",가정!$D$20,IF(B8="후반",가정!$D$21,가정!$D$22))))</f>
        <v>7.3205</v>
      </c>
      <c r="G8" s="21" t="n">
        <f aca="false">F8/F7-1</f>
        <v>0.1</v>
      </c>
      <c r="H8" s="20"/>
      <c r="I8" s="18" t="n">
        <f aca="false">IF(C8="보스",D8*가정!$D$26,"-")</f>
        <v>1265.625</v>
      </c>
      <c r="J8" s="18" t="n">
        <f aca="false">IF(C8="보스",F8*가정!$D$27,"-")</f>
        <v>14.641</v>
      </c>
      <c r="K8" s="17" t="n">
        <f aca="false">IF(A8&lt;=가정!$D$31,1,IF(A8&lt;=가정!$D$32,2,IF(A8&lt;=가정!$D$33,3,IF(A8&lt;=가정!$D$34,4,5))))</f>
        <v>1</v>
      </c>
      <c r="L8" s="17" t="n">
        <f aca="false">IF(K8=1,1,IF(K8=2,가정!$D$31+1,IF(K8=3,가정!$D$32+1,IF(K8=4,가정!$D$33+1,가정!$D$34+1))))</f>
        <v>1</v>
      </c>
      <c r="M8" s="17" t="n">
        <f aca="false">IF(K8=1,가정!$D$31,IF(K8=2,가정!$D$32,IF(K8=3,가정!$D$33,IF(K8=4,가정!$D$34,가정!$D$5))))</f>
        <v>5</v>
      </c>
      <c r="N8" s="17" t="n">
        <f aca="false">ROUND(가정!$D$36+(가정!$D$37*(1+가정!$D$38)^(K8-1)-가정!$D$36)*(A8-L8)/(M8-L8),0)</f>
        <v>10</v>
      </c>
      <c r="O8" s="17" t="n">
        <f aca="false">IF(C8="보스",N8,가정!$D$35)</f>
        <v>10</v>
      </c>
      <c r="P8" s="17" t="n">
        <f aca="false">IF(C8="보스",ROUND(N8*가정!$D$39,0),N8)</f>
        <v>30</v>
      </c>
      <c r="Q8" s="19" t="str">
        <f aca="false">IF(C8="보스","보스 고유 재화 별도 지급","")</f>
        <v>보스 고유 재화 별도 지급</v>
      </c>
    </row>
    <row r="9" customFormat="false" ht="15" hidden="false" customHeight="false" outlineLevel="0" collapsed="false">
      <c r="A9" s="17" t="n">
        <v>6</v>
      </c>
      <c r="B9" s="17" t="str">
        <f aca="false">IF(A9&lt;=가정!$D$6,"초반",IF(A9&lt;=가정!$D$7,"중반",IF(A9&lt;=가정!$D$8,"후반","엔드")))</f>
        <v>초반</v>
      </c>
      <c r="C9" s="17" t="str">
        <f aca="false">IF(OR(A9=가정!$D$31,A9=가정!$D$32,A9=가정!$D$33,A9=가정!$D$34,A9=가정!$D$5),"보스","일반")</f>
        <v>일반</v>
      </c>
      <c r="D9" s="18" t="n">
        <f aca="false">D8*(1+IF(B9="초반",가정!$D$12,IF(B9="중반",가정!$D$13,IF(B9="후반",가정!$D$14,가정!$D$15))))</f>
        <v>379.6875</v>
      </c>
      <c r="E9" s="21" t="n">
        <f aca="false">D9/D8-1</f>
        <v>0.5</v>
      </c>
      <c r="F9" s="18" t="n">
        <f aca="false">F8*(1+IF(B9="초반",가정!$D$19,IF(B9="중반",가정!$D$20,IF(B9="후반",가정!$D$21,가정!$D$22))))</f>
        <v>8.05255</v>
      </c>
      <c r="G9" s="21" t="n">
        <f aca="false">F9/F8-1</f>
        <v>0.1</v>
      </c>
      <c r="H9" s="20"/>
      <c r="I9" s="18" t="str">
        <f aca="false">IF(C9="보스",D9*가정!$D$26,"-")</f>
        <v>-</v>
      </c>
      <c r="J9" s="18" t="str">
        <f aca="false">IF(C9="보스",F9*가정!$D$27,"-")</f>
        <v>-</v>
      </c>
      <c r="K9" s="17" t="n">
        <f aca="false">IF(A9&lt;=가정!$D$31,1,IF(A9&lt;=가정!$D$32,2,IF(A9&lt;=가정!$D$33,3,IF(A9&lt;=가정!$D$34,4,5))))</f>
        <v>2</v>
      </c>
      <c r="L9" s="17" t="n">
        <f aca="false">IF(K9=1,1,IF(K9=2,가정!$D$31+1,IF(K9=3,가정!$D$32+1,IF(K9=4,가정!$D$33+1,가정!$D$34+1))))</f>
        <v>6</v>
      </c>
      <c r="M9" s="17" t="n">
        <f aca="false">IF(K9=1,가정!$D$31,IF(K9=2,가정!$D$32,IF(K9=3,가정!$D$33,IF(K9=4,가정!$D$34,가정!$D$5))))</f>
        <v>10</v>
      </c>
      <c r="N9" s="17" t="n">
        <f aca="false">ROUND(가정!$D$36+(가정!$D$37*(1+가정!$D$38)^(K9-1)-가정!$D$36)*(A9-L9)/(M9-L9),0)</f>
        <v>2</v>
      </c>
      <c r="O9" s="17" t="n">
        <f aca="false">IF(C9="보스",N9,가정!$D$35)</f>
        <v>0</v>
      </c>
      <c r="P9" s="17" t="n">
        <f aca="false">IF(C9="보스",ROUND(N9*가정!$D$39,0),N9)</f>
        <v>2</v>
      </c>
      <c r="Q9" s="19" t="str">
        <f aca="false">IF(C9="보스","보스 고유 재화 별도 지급","")</f>
        <v/>
      </c>
    </row>
    <row r="10" customFormat="false" ht="15" hidden="false" customHeight="false" outlineLevel="0" collapsed="false">
      <c r="A10" s="17" t="n">
        <v>7</v>
      </c>
      <c r="B10" s="17" t="str">
        <f aca="false">IF(A10&lt;=가정!$D$6,"초반",IF(A10&lt;=가정!$D$7,"중반",IF(A10&lt;=가정!$D$8,"후반","엔드")))</f>
        <v>중반</v>
      </c>
      <c r="C10" s="17" t="str">
        <f aca="false">IF(OR(A10=가정!$D$31,A10=가정!$D$32,A10=가정!$D$33,A10=가정!$D$34,A10=가정!$D$5),"보스","일반")</f>
        <v>일반</v>
      </c>
      <c r="D10" s="18" t="n">
        <f aca="false">D9*(1+IF(B10="초반",가정!$D$12,IF(B10="중반",가정!$D$13,IF(B10="후반",가정!$D$14,가정!$D$15))))</f>
        <v>759.375</v>
      </c>
      <c r="E10" s="21" t="n">
        <f aca="false">D10/D9-1</f>
        <v>1</v>
      </c>
      <c r="F10" s="18" t="n">
        <f aca="false">F9*(1+IF(B10="초반",가정!$D$19,IF(B10="중반",가정!$D$20,IF(B10="후반",가정!$D$21,가정!$D$22))))</f>
        <v>9.2604325</v>
      </c>
      <c r="G10" s="21" t="n">
        <f aca="false">F10/F9-1</f>
        <v>0.15</v>
      </c>
      <c r="H10" s="20"/>
      <c r="I10" s="18" t="str">
        <f aca="false">IF(C10="보스",D10*가정!$D$26,"-")</f>
        <v>-</v>
      </c>
      <c r="J10" s="18" t="str">
        <f aca="false">IF(C10="보스",F10*가정!$D$27,"-")</f>
        <v>-</v>
      </c>
      <c r="K10" s="17" t="n">
        <f aca="false">IF(A10&lt;=가정!$D$31,1,IF(A10&lt;=가정!$D$32,2,IF(A10&lt;=가정!$D$33,3,IF(A10&lt;=가정!$D$34,4,5))))</f>
        <v>2</v>
      </c>
      <c r="L10" s="17" t="n">
        <f aca="false">IF(K10=1,1,IF(K10=2,가정!$D$31+1,IF(K10=3,가정!$D$32+1,IF(K10=4,가정!$D$33+1,가정!$D$34+1))))</f>
        <v>6</v>
      </c>
      <c r="M10" s="17" t="n">
        <f aca="false">IF(K10=1,가정!$D$31,IF(K10=2,가정!$D$32,IF(K10=3,가정!$D$33,IF(K10=4,가정!$D$34,가정!$D$5))))</f>
        <v>10</v>
      </c>
      <c r="N10" s="17" t="n">
        <f aca="false">ROUND(가정!$D$36+(가정!$D$37*(1+가정!$D$38)^(K10-1)-가정!$D$36)*(A10-L10)/(M10-L10),0)</f>
        <v>5</v>
      </c>
      <c r="O10" s="17" t="n">
        <f aca="false">IF(C10="보스",N10,가정!$D$35)</f>
        <v>0</v>
      </c>
      <c r="P10" s="17" t="n">
        <f aca="false">IF(C10="보스",ROUND(N10*가정!$D$39,0),N10)</f>
        <v>5</v>
      </c>
      <c r="Q10" s="19" t="str">
        <f aca="false">IF(C10="보스","보스 고유 재화 별도 지급","")</f>
        <v/>
      </c>
    </row>
    <row r="11" customFormat="false" ht="15" hidden="false" customHeight="false" outlineLevel="0" collapsed="false">
      <c r="A11" s="17" t="n">
        <v>8</v>
      </c>
      <c r="B11" s="17" t="str">
        <f aca="false">IF(A11&lt;=가정!$D$6,"초반",IF(A11&lt;=가정!$D$7,"중반",IF(A11&lt;=가정!$D$8,"후반","엔드")))</f>
        <v>중반</v>
      </c>
      <c r="C11" s="17" t="str">
        <f aca="false">IF(OR(A11=가정!$D$31,A11=가정!$D$32,A11=가정!$D$33,A11=가정!$D$34,A11=가정!$D$5),"보스","일반")</f>
        <v>일반</v>
      </c>
      <c r="D11" s="18" t="n">
        <f aca="false">D10*(1+IF(B11="초반",가정!$D$12,IF(B11="중반",가정!$D$13,IF(B11="후반",가정!$D$14,가정!$D$15))))</f>
        <v>1518.75</v>
      </c>
      <c r="E11" s="21" t="n">
        <f aca="false">D11/D10-1</f>
        <v>1</v>
      </c>
      <c r="F11" s="18" t="n">
        <f aca="false">F10*(1+IF(B11="초반",가정!$D$19,IF(B11="중반",가정!$D$20,IF(B11="후반",가정!$D$21,가정!$D$22))))</f>
        <v>10.649497375</v>
      </c>
      <c r="G11" s="21" t="n">
        <f aca="false">F11/F10-1</f>
        <v>0.15</v>
      </c>
      <c r="H11" s="20"/>
      <c r="I11" s="18" t="str">
        <f aca="false">IF(C11="보스",D11*가정!$D$26,"-")</f>
        <v>-</v>
      </c>
      <c r="J11" s="18" t="str">
        <f aca="false">IF(C11="보스",F11*가정!$D$27,"-")</f>
        <v>-</v>
      </c>
      <c r="K11" s="17" t="n">
        <f aca="false">IF(A11&lt;=가정!$D$31,1,IF(A11&lt;=가정!$D$32,2,IF(A11&lt;=가정!$D$33,3,IF(A11&lt;=가정!$D$34,4,5))))</f>
        <v>2</v>
      </c>
      <c r="L11" s="17" t="n">
        <f aca="false">IF(K11=1,1,IF(K11=2,가정!$D$31+1,IF(K11=3,가정!$D$32+1,IF(K11=4,가정!$D$33+1,가정!$D$34+1))))</f>
        <v>6</v>
      </c>
      <c r="M11" s="17" t="n">
        <f aca="false">IF(K11=1,가정!$D$31,IF(K11=2,가정!$D$32,IF(K11=3,가정!$D$33,IF(K11=4,가정!$D$34,가정!$D$5))))</f>
        <v>10</v>
      </c>
      <c r="N11" s="17" t="n">
        <f aca="false">ROUND(가정!$D$36+(가정!$D$37*(1+가정!$D$38)^(K11-1)-가정!$D$36)*(A11-L11)/(M11-L11),0)</f>
        <v>9</v>
      </c>
      <c r="O11" s="17" t="n">
        <f aca="false">IF(C11="보스",N11,가정!$D$35)</f>
        <v>0</v>
      </c>
      <c r="P11" s="17" t="n">
        <f aca="false">IF(C11="보스",ROUND(N11*가정!$D$39,0),N11)</f>
        <v>9</v>
      </c>
      <c r="Q11" s="19" t="str">
        <f aca="false">IF(C11="보스","보스 고유 재화 별도 지급","")</f>
        <v/>
      </c>
    </row>
    <row r="12" customFormat="false" ht="15" hidden="false" customHeight="false" outlineLevel="0" collapsed="false">
      <c r="A12" s="17" t="n">
        <v>9</v>
      </c>
      <c r="B12" s="17" t="str">
        <f aca="false">IF(A12&lt;=가정!$D$6,"초반",IF(A12&lt;=가정!$D$7,"중반",IF(A12&lt;=가정!$D$8,"후반","엔드")))</f>
        <v>중반</v>
      </c>
      <c r="C12" s="17" t="str">
        <f aca="false">IF(OR(A12=가정!$D$31,A12=가정!$D$32,A12=가정!$D$33,A12=가정!$D$34,A12=가정!$D$5),"보스","일반")</f>
        <v>일반</v>
      </c>
      <c r="D12" s="18" t="n">
        <f aca="false">D11*(1+IF(B12="초반",가정!$D$12,IF(B12="중반",가정!$D$13,IF(B12="후반",가정!$D$14,가정!$D$15))))</f>
        <v>3037.5</v>
      </c>
      <c r="E12" s="21" t="n">
        <f aca="false">D12/D11-1</f>
        <v>1</v>
      </c>
      <c r="F12" s="18" t="n">
        <f aca="false">F11*(1+IF(B12="초반",가정!$D$19,IF(B12="중반",가정!$D$20,IF(B12="후반",가정!$D$21,가정!$D$22))))</f>
        <v>12.24692198125</v>
      </c>
      <c r="G12" s="21" t="n">
        <f aca="false">F12/F11-1</f>
        <v>0.15</v>
      </c>
      <c r="H12" s="20"/>
      <c r="I12" s="18" t="str">
        <f aca="false">IF(C12="보스",D12*가정!$D$26,"-")</f>
        <v>-</v>
      </c>
      <c r="J12" s="18" t="str">
        <f aca="false">IF(C12="보스",F12*가정!$D$27,"-")</f>
        <v>-</v>
      </c>
      <c r="K12" s="17" t="n">
        <f aca="false">IF(A12&lt;=가정!$D$31,1,IF(A12&lt;=가정!$D$32,2,IF(A12&lt;=가정!$D$33,3,IF(A12&lt;=가정!$D$34,4,5))))</f>
        <v>2</v>
      </c>
      <c r="L12" s="17" t="n">
        <f aca="false">IF(K12=1,1,IF(K12=2,가정!$D$31+1,IF(K12=3,가정!$D$32+1,IF(K12=4,가정!$D$33+1,가정!$D$34+1))))</f>
        <v>6</v>
      </c>
      <c r="M12" s="17" t="n">
        <f aca="false">IF(K12=1,가정!$D$31,IF(K12=2,가정!$D$32,IF(K12=3,가정!$D$33,IF(K12=4,가정!$D$34,가정!$D$5))))</f>
        <v>10</v>
      </c>
      <c r="N12" s="17" t="n">
        <f aca="false">ROUND(가정!$D$36+(가정!$D$37*(1+가정!$D$38)^(K12-1)-가정!$D$36)*(A12-L12)/(M12-L12),0)</f>
        <v>12</v>
      </c>
      <c r="O12" s="17" t="n">
        <f aca="false">IF(C12="보스",N12,가정!$D$35)</f>
        <v>0</v>
      </c>
      <c r="P12" s="17" t="n">
        <f aca="false">IF(C12="보스",ROUND(N12*가정!$D$39,0),N12)</f>
        <v>12</v>
      </c>
      <c r="Q12" s="19" t="str">
        <f aca="false">IF(C12="보스","보스 고유 재화 별도 지급","")</f>
        <v/>
      </c>
    </row>
    <row r="13" customFormat="false" ht="15" hidden="false" customHeight="false" outlineLevel="0" collapsed="false">
      <c r="A13" s="17" t="n">
        <v>10</v>
      </c>
      <c r="B13" s="17" t="str">
        <f aca="false">IF(A13&lt;=가정!$D$6,"초반",IF(A13&lt;=가정!$D$7,"중반",IF(A13&lt;=가정!$D$8,"후반","엔드")))</f>
        <v>중반</v>
      </c>
      <c r="C13" s="17" t="str">
        <f aca="false">IF(OR(A13=가정!$D$31,A13=가정!$D$32,A13=가정!$D$33,A13=가정!$D$34,A13=가정!$D$5),"보스","일반")</f>
        <v>보스</v>
      </c>
      <c r="D13" s="18" t="n">
        <f aca="false">D12*(1+IF(B13="초반",가정!$D$12,IF(B13="중반",가정!$D$13,IF(B13="후반",가정!$D$14,가정!$D$15))))</f>
        <v>6075</v>
      </c>
      <c r="E13" s="21" t="n">
        <f aca="false">D13/D12-1</f>
        <v>1</v>
      </c>
      <c r="F13" s="18" t="n">
        <f aca="false">F12*(1+IF(B13="초반",가정!$D$19,IF(B13="중반",가정!$D$20,IF(B13="후반",가정!$D$21,가정!$D$22))))</f>
        <v>14.0839602784375</v>
      </c>
      <c r="G13" s="21" t="n">
        <f aca="false">F13/F12-1</f>
        <v>0.15</v>
      </c>
      <c r="H13" s="20"/>
      <c r="I13" s="18" t="n">
        <f aca="false">IF(C13="보스",D13*가정!$D$26,"-")</f>
        <v>30375</v>
      </c>
      <c r="J13" s="18" t="n">
        <f aca="false">IF(C13="보스",F13*가정!$D$27,"-")</f>
        <v>28.167920556875</v>
      </c>
      <c r="K13" s="17" t="n">
        <f aca="false">IF(A13&lt;=가정!$D$31,1,IF(A13&lt;=가정!$D$32,2,IF(A13&lt;=가정!$D$33,3,IF(A13&lt;=가정!$D$34,4,5))))</f>
        <v>2</v>
      </c>
      <c r="L13" s="17" t="n">
        <f aca="false">IF(K13=1,1,IF(K13=2,가정!$D$31+1,IF(K13=3,가정!$D$32+1,IF(K13=4,가정!$D$33+1,가정!$D$34+1))))</f>
        <v>6</v>
      </c>
      <c r="M13" s="17" t="n">
        <f aca="false">IF(K13=1,가정!$D$31,IF(K13=2,가정!$D$32,IF(K13=3,가정!$D$33,IF(K13=4,가정!$D$34,가정!$D$5))))</f>
        <v>10</v>
      </c>
      <c r="N13" s="17" t="n">
        <f aca="false">ROUND(가정!$D$36+(가정!$D$37*(1+가정!$D$38)^(K13-1)-가정!$D$36)*(A13-L13)/(M13-L13),0)</f>
        <v>15</v>
      </c>
      <c r="O13" s="17" t="n">
        <f aca="false">IF(C13="보스",N13,가정!$D$35)</f>
        <v>15</v>
      </c>
      <c r="P13" s="17" t="n">
        <f aca="false">IF(C13="보스",ROUND(N13*가정!$D$39,0),N13)</f>
        <v>45</v>
      </c>
      <c r="Q13" s="19" t="str">
        <f aca="false">IF(C13="보스","보스 고유 재화 별도 지급","")</f>
        <v>보스 고유 재화 별도 지급</v>
      </c>
    </row>
    <row r="14" customFormat="false" ht="15" hidden="false" customHeight="false" outlineLevel="0" collapsed="false">
      <c r="A14" s="17" t="n">
        <v>11</v>
      </c>
      <c r="B14" s="17" t="str">
        <f aca="false">IF(A14&lt;=가정!$D$6,"초반",IF(A14&lt;=가정!$D$7,"중반",IF(A14&lt;=가정!$D$8,"후반","엔드")))</f>
        <v>중반</v>
      </c>
      <c r="C14" s="17" t="str">
        <f aca="false">IF(OR(A14=가정!$D$31,A14=가정!$D$32,A14=가정!$D$33,A14=가정!$D$34,A14=가정!$D$5),"보스","일반")</f>
        <v>일반</v>
      </c>
      <c r="D14" s="18" t="n">
        <f aca="false">D13*(1+IF(B14="초반",가정!$D$12,IF(B14="중반",가정!$D$13,IF(B14="후반",가정!$D$14,가정!$D$15))))</f>
        <v>12150</v>
      </c>
      <c r="E14" s="21" t="n">
        <f aca="false">D14/D13-1</f>
        <v>1</v>
      </c>
      <c r="F14" s="18" t="n">
        <f aca="false">F13*(1+IF(B14="초반",가정!$D$19,IF(B14="중반",가정!$D$20,IF(B14="후반",가정!$D$21,가정!$D$22))))</f>
        <v>16.1965543202031</v>
      </c>
      <c r="G14" s="21" t="n">
        <f aca="false">F14/F13-1</f>
        <v>0.15</v>
      </c>
      <c r="H14" s="20"/>
      <c r="I14" s="18" t="str">
        <f aca="false">IF(C14="보스",D14*가정!$D$26,"-")</f>
        <v>-</v>
      </c>
      <c r="J14" s="18" t="str">
        <f aca="false">IF(C14="보스",F14*가정!$D$27,"-")</f>
        <v>-</v>
      </c>
      <c r="K14" s="17" t="n">
        <f aca="false">IF(A14&lt;=가정!$D$31,1,IF(A14&lt;=가정!$D$32,2,IF(A14&lt;=가정!$D$33,3,IF(A14&lt;=가정!$D$34,4,5))))</f>
        <v>3</v>
      </c>
      <c r="L14" s="17" t="n">
        <f aca="false">IF(K14=1,1,IF(K14=2,가정!$D$31+1,IF(K14=3,가정!$D$32+1,IF(K14=4,가정!$D$33+1,가정!$D$34+1))))</f>
        <v>11</v>
      </c>
      <c r="M14" s="17" t="n">
        <f aca="false">IF(K14=1,가정!$D$31,IF(K14=2,가정!$D$32,IF(K14=3,가정!$D$33,IF(K14=4,가정!$D$34,가정!$D$5))))</f>
        <v>14</v>
      </c>
      <c r="N14" s="17" t="n">
        <f aca="false">ROUND(가정!$D$36+(가정!$D$37*(1+가정!$D$38)^(K14-1)-가정!$D$36)*(A14-L14)/(M14-L14),0)</f>
        <v>2</v>
      </c>
      <c r="O14" s="17" t="n">
        <f aca="false">IF(C14="보스",N14,가정!$D$35)</f>
        <v>0</v>
      </c>
      <c r="P14" s="17" t="n">
        <f aca="false">IF(C14="보스",ROUND(N14*가정!$D$39,0),N14)</f>
        <v>2</v>
      </c>
      <c r="Q14" s="19" t="str">
        <f aca="false">IF(C14="보스","보스 고유 재화 별도 지급","")</f>
        <v/>
      </c>
    </row>
    <row r="15" customFormat="false" ht="15" hidden="false" customHeight="false" outlineLevel="0" collapsed="false">
      <c r="A15" s="17" t="n">
        <v>12</v>
      </c>
      <c r="B15" s="17" t="str">
        <f aca="false">IF(A15&lt;=가정!$D$6,"초반",IF(A15&lt;=가정!$D$7,"중반",IF(A15&lt;=가정!$D$8,"후반","엔드")))</f>
        <v>중반</v>
      </c>
      <c r="C15" s="17" t="str">
        <f aca="false">IF(OR(A15=가정!$D$31,A15=가정!$D$32,A15=가정!$D$33,A15=가정!$D$34,A15=가정!$D$5),"보스","일반")</f>
        <v>일반</v>
      </c>
      <c r="D15" s="18" t="n">
        <f aca="false">D14*(1+IF(B15="초반",가정!$D$12,IF(B15="중반",가정!$D$13,IF(B15="후반",가정!$D$14,가정!$D$15))))</f>
        <v>24300</v>
      </c>
      <c r="E15" s="21" t="n">
        <f aca="false">D15/D14-1</f>
        <v>1</v>
      </c>
      <c r="F15" s="18" t="n">
        <f aca="false">F14*(1+IF(B15="초반",가정!$D$19,IF(B15="중반",가정!$D$20,IF(B15="후반",가정!$D$21,가정!$D$22))))</f>
        <v>18.6260374682336</v>
      </c>
      <c r="G15" s="21" t="n">
        <f aca="false">F15/F14-1</f>
        <v>0.15</v>
      </c>
      <c r="H15" s="20"/>
      <c r="I15" s="18" t="str">
        <f aca="false">IF(C15="보스",D15*가정!$D$26,"-")</f>
        <v>-</v>
      </c>
      <c r="J15" s="18" t="str">
        <f aca="false">IF(C15="보스",F15*가정!$D$27,"-")</f>
        <v>-</v>
      </c>
      <c r="K15" s="17" t="n">
        <f aca="false">IF(A15&lt;=가정!$D$31,1,IF(A15&lt;=가정!$D$32,2,IF(A15&lt;=가정!$D$33,3,IF(A15&lt;=가정!$D$34,4,5))))</f>
        <v>3</v>
      </c>
      <c r="L15" s="17" t="n">
        <f aca="false">IF(K15=1,1,IF(K15=2,가정!$D$31+1,IF(K15=3,가정!$D$32+1,IF(K15=4,가정!$D$33+1,가정!$D$34+1))))</f>
        <v>11</v>
      </c>
      <c r="M15" s="17" t="n">
        <f aca="false">IF(K15=1,가정!$D$31,IF(K15=2,가정!$D$32,IF(K15=3,가정!$D$33,IF(K15=4,가정!$D$34,가정!$D$5))))</f>
        <v>14</v>
      </c>
      <c r="N15" s="17" t="n">
        <f aca="false">ROUND(가정!$D$36+(가정!$D$37*(1+가정!$D$38)^(K15-1)-가정!$D$36)*(A15-L15)/(M15-L15),0)</f>
        <v>9</v>
      </c>
      <c r="O15" s="17" t="n">
        <f aca="false">IF(C15="보스",N15,가정!$D$35)</f>
        <v>0</v>
      </c>
      <c r="P15" s="17" t="n">
        <f aca="false">IF(C15="보스",ROUND(N15*가정!$D$39,0),N15)</f>
        <v>9</v>
      </c>
      <c r="Q15" s="19" t="str">
        <f aca="false">IF(C15="보스","보스 고유 재화 별도 지급","")</f>
        <v/>
      </c>
    </row>
    <row r="16" customFormat="false" ht="15" hidden="false" customHeight="false" outlineLevel="0" collapsed="false">
      <c r="A16" s="17" t="n">
        <v>13</v>
      </c>
      <c r="B16" s="17" t="str">
        <f aca="false">IF(A16&lt;=가정!$D$6,"초반",IF(A16&lt;=가정!$D$7,"중반",IF(A16&lt;=가정!$D$8,"후반","엔드")))</f>
        <v>후반</v>
      </c>
      <c r="C16" s="17" t="str">
        <f aca="false">IF(OR(A16=가정!$D$31,A16=가정!$D$32,A16=가정!$D$33,A16=가정!$D$34,A16=가정!$D$5),"보스","일반")</f>
        <v>일반</v>
      </c>
      <c r="D16" s="18" t="n">
        <f aca="false">D15*(1+IF(B16="초반",가정!$D$12,IF(B16="중반",가정!$D$13,IF(B16="후반",가정!$D$14,가정!$D$15))))</f>
        <v>66825</v>
      </c>
      <c r="E16" s="21" t="n">
        <f aca="false">D16/D15-1</f>
        <v>1.75</v>
      </c>
      <c r="F16" s="18" t="n">
        <f aca="false">F15*(1+IF(B16="초반",가정!$D$19,IF(B16="중반",가정!$D$20,IF(B16="후반",가정!$D$21,가정!$D$22))))</f>
        <v>22.3512449618803</v>
      </c>
      <c r="G16" s="21" t="n">
        <f aca="false">F16/F15-1</f>
        <v>0.2</v>
      </c>
      <c r="H16" s="20"/>
      <c r="I16" s="18" t="str">
        <f aca="false">IF(C16="보스",D16*가정!$D$26,"-")</f>
        <v>-</v>
      </c>
      <c r="J16" s="18" t="str">
        <f aca="false">IF(C16="보스",F16*가정!$D$27,"-")</f>
        <v>-</v>
      </c>
      <c r="K16" s="17" t="n">
        <f aca="false">IF(A16&lt;=가정!$D$31,1,IF(A16&lt;=가정!$D$32,2,IF(A16&lt;=가정!$D$33,3,IF(A16&lt;=가정!$D$34,4,5))))</f>
        <v>3</v>
      </c>
      <c r="L16" s="17" t="n">
        <f aca="false">IF(K16=1,1,IF(K16=2,가정!$D$31+1,IF(K16=3,가정!$D$32+1,IF(K16=4,가정!$D$33+1,가정!$D$34+1))))</f>
        <v>11</v>
      </c>
      <c r="M16" s="17" t="n">
        <f aca="false">IF(K16=1,가정!$D$31,IF(K16=2,가정!$D$32,IF(K16=3,가정!$D$33,IF(K16=4,가정!$D$34,가정!$D$5))))</f>
        <v>14</v>
      </c>
      <c r="N16" s="17" t="n">
        <f aca="false">ROUND(가정!$D$36+(가정!$D$37*(1+가정!$D$38)^(K16-1)-가정!$D$36)*(A16-L16)/(M16-L16),0)</f>
        <v>16</v>
      </c>
      <c r="O16" s="17" t="n">
        <f aca="false">IF(C16="보스",N16,가정!$D$35)</f>
        <v>0</v>
      </c>
      <c r="P16" s="17" t="n">
        <f aca="false">IF(C16="보스",ROUND(N16*가정!$D$39,0),N16)</f>
        <v>16</v>
      </c>
      <c r="Q16" s="19" t="str">
        <f aca="false">IF(C16="보스","보스 고유 재화 별도 지급","")</f>
        <v/>
      </c>
    </row>
    <row r="17" customFormat="false" ht="15" hidden="false" customHeight="false" outlineLevel="0" collapsed="false">
      <c r="A17" s="17" t="n">
        <v>14</v>
      </c>
      <c r="B17" s="17" t="str">
        <f aca="false">IF(A17&lt;=가정!$D$6,"초반",IF(A17&lt;=가정!$D$7,"중반",IF(A17&lt;=가정!$D$8,"후반","엔드")))</f>
        <v>후반</v>
      </c>
      <c r="C17" s="17" t="str">
        <f aca="false">IF(OR(A17=가정!$D$31,A17=가정!$D$32,A17=가정!$D$33,A17=가정!$D$34,A17=가정!$D$5),"보스","일반")</f>
        <v>보스</v>
      </c>
      <c r="D17" s="18" t="n">
        <f aca="false">D16*(1+IF(B17="초반",가정!$D$12,IF(B17="중반",가정!$D$13,IF(B17="후반",가정!$D$14,가정!$D$15))))</f>
        <v>183768.75</v>
      </c>
      <c r="E17" s="21" t="n">
        <f aca="false">D17/D16-1</f>
        <v>1.75</v>
      </c>
      <c r="F17" s="18" t="n">
        <f aca="false">F16*(1+IF(B17="초반",가정!$D$19,IF(B17="중반",가정!$D$20,IF(B17="후반",가정!$D$21,가정!$D$22))))</f>
        <v>26.8214939542564</v>
      </c>
      <c r="G17" s="21" t="n">
        <f aca="false">F17/F16-1</f>
        <v>0.2</v>
      </c>
      <c r="H17" s="20"/>
      <c r="I17" s="18" t="n">
        <f aca="false">IF(C17="보스",D17*가정!$D$26,"-")</f>
        <v>918843.75</v>
      </c>
      <c r="J17" s="18" t="n">
        <f aca="false">IF(C17="보스",F17*가정!$D$27,"-")</f>
        <v>53.6429879085127</v>
      </c>
      <c r="K17" s="17" t="n">
        <f aca="false">IF(A17&lt;=가정!$D$31,1,IF(A17&lt;=가정!$D$32,2,IF(A17&lt;=가정!$D$33,3,IF(A17&lt;=가정!$D$34,4,5))))</f>
        <v>3</v>
      </c>
      <c r="L17" s="17" t="n">
        <f aca="false">IF(K17=1,1,IF(K17=2,가정!$D$31+1,IF(K17=3,가정!$D$32+1,IF(K17=4,가정!$D$33+1,가정!$D$34+1))))</f>
        <v>11</v>
      </c>
      <c r="M17" s="17" t="n">
        <f aca="false">IF(K17=1,가정!$D$31,IF(K17=2,가정!$D$32,IF(K17=3,가정!$D$33,IF(K17=4,가정!$D$34,가정!$D$5))))</f>
        <v>14</v>
      </c>
      <c r="N17" s="17" t="n">
        <f aca="false">ROUND(가정!$D$36+(가정!$D$37*(1+가정!$D$38)^(K17-1)-가정!$D$36)*(A17-L17)/(M17-L17),0)</f>
        <v>23</v>
      </c>
      <c r="O17" s="17" t="n">
        <f aca="false">IF(C17="보스",N17,가정!$D$35)</f>
        <v>23</v>
      </c>
      <c r="P17" s="17" t="n">
        <f aca="false">IF(C17="보스",ROUND(N17*가정!$D$39,0),N17)</f>
        <v>69</v>
      </c>
      <c r="Q17" s="19" t="str">
        <f aca="false">IF(C17="보스","보스 고유 재화 별도 지급","")</f>
        <v>보스 고유 재화 별도 지급</v>
      </c>
    </row>
    <row r="18" customFormat="false" ht="15" hidden="false" customHeight="false" outlineLevel="0" collapsed="false">
      <c r="A18" s="17" t="n">
        <v>15</v>
      </c>
      <c r="B18" s="17" t="str">
        <f aca="false">IF(A18&lt;=가정!$D$6,"초반",IF(A18&lt;=가정!$D$7,"중반",IF(A18&lt;=가정!$D$8,"후반","엔드")))</f>
        <v>후반</v>
      </c>
      <c r="C18" s="17" t="str">
        <f aca="false">IF(OR(A18=가정!$D$31,A18=가정!$D$32,A18=가정!$D$33,A18=가정!$D$34,A18=가정!$D$5),"보스","일반")</f>
        <v>일반</v>
      </c>
      <c r="D18" s="18" t="n">
        <f aca="false">D17*(1+IF(B18="초반",가정!$D$12,IF(B18="중반",가정!$D$13,IF(B18="후반",가정!$D$14,가정!$D$15))))</f>
        <v>505364.0625</v>
      </c>
      <c r="E18" s="21" t="n">
        <f aca="false">D18/D17-1</f>
        <v>1.75</v>
      </c>
      <c r="F18" s="18" t="n">
        <f aca="false">F17*(1+IF(B18="초반",가정!$D$19,IF(B18="중반",가정!$D$20,IF(B18="후반",가정!$D$21,가정!$D$22))))</f>
        <v>32.1857927451076</v>
      </c>
      <c r="G18" s="21" t="n">
        <f aca="false">F18/F17-1</f>
        <v>0.2</v>
      </c>
      <c r="H18" s="20"/>
      <c r="I18" s="18" t="str">
        <f aca="false">IF(C18="보스",D18*가정!$D$26,"-")</f>
        <v>-</v>
      </c>
      <c r="J18" s="18" t="str">
        <f aca="false">IF(C18="보스",F18*가정!$D$27,"-")</f>
        <v>-</v>
      </c>
      <c r="K18" s="17" t="n">
        <f aca="false">IF(A18&lt;=가정!$D$31,1,IF(A18&lt;=가정!$D$32,2,IF(A18&lt;=가정!$D$33,3,IF(A18&lt;=가정!$D$34,4,5))))</f>
        <v>4</v>
      </c>
      <c r="L18" s="17" t="n">
        <f aca="false">IF(K18=1,1,IF(K18=2,가정!$D$31+1,IF(K18=3,가정!$D$32+1,IF(K18=4,가정!$D$33+1,가정!$D$34+1))))</f>
        <v>15</v>
      </c>
      <c r="M18" s="17" t="n">
        <f aca="false">IF(K18=1,가정!$D$31,IF(K18=2,가정!$D$32,IF(K18=3,가정!$D$33,IF(K18=4,가정!$D$34,가정!$D$5))))</f>
        <v>18</v>
      </c>
      <c r="N18" s="17" t="n">
        <f aca="false">ROUND(가정!$D$36+(가정!$D$37*(1+가정!$D$38)^(K18-1)-가정!$D$36)*(A18-L18)/(M18-L18),0)</f>
        <v>2</v>
      </c>
      <c r="O18" s="17" t="n">
        <f aca="false">IF(C18="보스",N18,가정!$D$35)</f>
        <v>0</v>
      </c>
      <c r="P18" s="17" t="n">
        <f aca="false">IF(C18="보스",ROUND(N18*가정!$D$39,0),N18)</f>
        <v>2</v>
      </c>
      <c r="Q18" s="19" t="str">
        <f aca="false">IF(C18="보스","보스 고유 재화 별도 지급","")</f>
        <v/>
      </c>
    </row>
    <row r="19" customFormat="false" ht="15" hidden="false" customHeight="false" outlineLevel="0" collapsed="false">
      <c r="A19" s="17" t="n">
        <v>16</v>
      </c>
      <c r="B19" s="17" t="str">
        <f aca="false">IF(A19&lt;=가정!$D$6,"초반",IF(A19&lt;=가정!$D$7,"중반",IF(A19&lt;=가정!$D$8,"후반","엔드")))</f>
        <v>후반</v>
      </c>
      <c r="C19" s="17" t="str">
        <f aca="false">IF(OR(A19=가정!$D$31,A19=가정!$D$32,A19=가정!$D$33,A19=가정!$D$34,A19=가정!$D$5),"보스","일반")</f>
        <v>일반</v>
      </c>
      <c r="D19" s="18" t="n">
        <f aca="false">D18*(1+IF(B19="초반",가정!$D$12,IF(B19="중반",가정!$D$13,IF(B19="후반",가정!$D$14,가정!$D$15))))</f>
        <v>1389751.171875</v>
      </c>
      <c r="E19" s="21" t="n">
        <f aca="false">D19/D18-1</f>
        <v>1.75</v>
      </c>
      <c r="F19" s="18" t="n">
        <f aca="false">F18*(1+IF(B19="초반",가정!$D$19,IF(B19="중반",가정!$D$20,IF(B19="후반",가정!$D$21,가정!$D$22))))</f>
        <v>38.6229512941292</v>
      </c>
      <c r="G19" s="21" t="n">
        <f aca="false">F19/F18-1</f>
        <v>0.2</v>
      </c>
      <c r="H19" s="20"/>
      <c r="I19" s="18" t="str">
        <f aca="false">IF(C19="보스",D19*가정!$D$26,"-")</f>
        <v>-</v>
      </c>
      <c r="J19" s="18" t="str">
        <f aca="false">IF(C19="보스",F19*가정!$D$27,"-")</f>
        <v>-</v>
      </c>
      <c r="K19" s="17" t="n">
        <f aca="false">IF(A19&lt;=가정!$D$31,1,IF(A19&lt;=가정!$D$32,2,IF(A19&lt;=가정!$D$33,3,IF(A19&lt;=가정!$D$34,4,5))))</f>
        <v>4</v>
      </c>
      <c r="L19" s="17" t="n">
        <f aca="false">IF(K19=1,1,IF(K19=2,가정!$D$31+1,IF(K19=3,가정!$D$32+1,IF(K19=4,가정!$D$33+1,가정!$D$34+1))))</f>
        <v>15</v>
      </c>
      <c r="M19" s="17" t="n">
        <f aca="false">IF(K19=1,가정!$D$31,IF(K19=2,가정!$D$32,IF(K19=3,가정!$D$33,IF(K19=4,가정!$D$34,가정!$D$5))))</f>
        <v>18</v>
      </c>
      <c r="N19" s="17" t="n">
        <f aca="false">ROUND(가정!$D$36+(가정!$D$37*(1+가정!$D$38)^(K19-1)-가정!$D$36)*(A19-L19)/(M19-L19),0)</f>
        <v>13</v>
      </c>
      <c r="O19" s="17" t="n">
        <f aca="false">IF(C19="보스",N19,가정!$D$35)</f>
        <v>0</v>
      </c>
      <c r="P19" s="17" t="n">
        <f aca="false">IF(C19="보스",ROUND(N19*가정!$D$39,0),N19)</f>
        <v>13</v>
      </c>
      <c r="Q19" s="19" t="str">
        <f aca="false">IF(C19="보스","보스 고유 재화 별도 지급","")</f>
        <v/>
      </c>
    </row>
    <row r="20" customFormat="false" ht="15" hidden="false" customHeight="false" outlineLevel="0" collapsed="false">
      <c r="A20" s="17" t="n">
        <v>17</v>
      </c>
      <c r="B20" s="17" t="str">
        <f aca="false">IF(A20&lt;=가정!$D$6,"초반",IF(A20&lt;=가정!$D$7,"중반",IF(A20&lt;=가정!$D$8,"후반","엔드")))</f>
        <v>후반</v>
      </c>
      <c r="C20" s="17" t="str">
        <f aca="false">IF(OR(A20=가정!$D$31,A20=가정!$D$32,A20=가정!$D$33,A20=가정!$D$34,A20=가정!$D$5),"보스","일반")</f>
        <v>일반</v>
      </c>
      <c r="D20" s="18" t="n">
        <f aca="false">D19*(1+IF(B20="초반",가정!$D$12,IF(B20="중반",가정!$D$13,IF(B20="후반",가정!$D$14,가정!$D$15))))</f>
        <v>3821815.72265625</v>
      </c>
      <c r="E20" s="21" t="n">
        <f aca="false">D20/D19-1</f>
        <v>1.75</v>
      </c>
      <c r="F20" s="18" t="n">
        <f aca="false">F19*(1+IF(B20="초반",가정!$D$19,IF(B20="중반",가정!$D$20,IF(B20="후반",가정!$D$21,가정!$D$22))))</f>
        <v>46.347541552955</v>
      </c>
      <c r="G20" s="21" t="n">
        <f aca="false">F20/F19-1</f>
        <v>0.2</v>
      </c>
      <c r="H20" s="20"/>
      <c r="I20" s="18" t="str">
        <f aca="false">IF(C20="보스",D20*가정!$D$26,"-")</f>
        <v>-</v>
      </c>
      <c r="J20" s="18" t="str">
        <f aca="false">IF(C20="보스",F20*가정!$D$27,"-")</f>
        <v>-</v>
      </c>
      <c r="K20" s="17" t="n">
        <f aca="false">IF(A20&lt;=가정!$D$31,1,IF(A20&lt;=가정!$D$32,2,IF(A20&lt;=가정!$D$33,3,IF(A20&lt;=가정!$D$34,4,5))))</f>
        <v>4</v>
      </c>
      <c r="L20" s="17" t="n">
        <f aca="false">IF(K20=1,1,IF(K20=2,가정!$D$31+1,IF(K20=3,가정!$D$32+1,IF(K20=4,가정!$D$33+1,가정!$D$34+1))))</f>
        <v>15</v>
      </c>
      <c r="M20" s="17" t="n">
        <f aca="false">IF(K20=1,가정!$D$31,IF(K20=2,가정!$D$32,IF(K20=3,가정!$D$33,IF(K20=4,가정!$D$34,가정!$D$5))))</f>
        <v>18</v>
      </c>
      <c r="N20" s="17" t="n">
        <f aca="false">ROUND(가정!$D$36+(가정!$D$37*(1+가정!$D$38)^(K20-1)-가정!$D$36)*(A20-L20)/(M20-L20),0)</f>
        <v>23</v>
      </c>
      <c r="O20" s="17" t="n">
        <f aca="false">IF(C20="보스",N20,가정!$D$35)</f>
        <v>0</v>
      </c>
      <c r="P20" s="17" t="n">
        <f aca="false">IF(C20="보스",ROUND(N20*가정!$D$39,0),N20)</f>
        <v>23</v>
      </c>
      <c r="Q20" s="19" t="str">
        <f aca="false">IF(C20="보스","보스 고유 재화 별도 지급","")</f>
        <v/>
      </c>
    </row>
    <row r="21" customFormat="false" ht="15" hidden="false" customHeight="false" outlineLevel="0" collapsed="false">
      <c r="A21" s="17" t="n">
        <v>18</v>
      </c>
      <c r="B21" s="17" t="str">
        <f aca="false">IF(A21&lt;=가정!$D$6,"초반",IF(A21&lt;=가정!$D$7,"중반",IF(A21&lt;=가정!$D$8,"후반","엔드")))</f>
        <v>엔드</v>
      </c>
      <c r="C21" s="17" t="str">
        <f aca="false">IF(OR(A21=가정!$D$31,A21=가정!$D$32,A21=가정!$D$33,A21=가정!$D$34,A21=가정!$D$5),"보스","일반")</f>
        <v>보스</v>
      </c>
      <c r="D21" s="18" t="n">
        <f aca="false">D20*(1+IF(B21="초반",가정!$D$12,IF(B21="중반",가정!$D$13,IF(B21="후반",가정!$D$14,가정!$D$15))))</f>
        <v>15287262.890625</v>
      </c>
      <c r="E21" s="21" t="n">
        <f aca="false">D21/D20-1</f>
        <v>3</v>
      </c>
      <c r="F21" s="18" t="n">
        <f aca="false">F20*(1+IF(B21="초반",가정!$D$19,IF(B21="중반",가정!$D$20,IF(B21="후반",가정!$D$21,가정!$D$22))))</f>
        <v>57.9344269411938</v>
      </c>
      <c r="G21" s="21" t="n">
        <f aca="false">F21/F20-1</f>
        <v>0.25</v>
      </c>
      <c r="H21" s="20"/>
      <c r="I21" s="18" t="n">
        <f aca="false">IF(C21="보스",D21*가정!$D$26,"-")</f>
        <v>76436314.453125</v>
      </c>
      <c r="J21" s="18" t="n">
        <f aca="false">IF(C21="보스",F21*가정!$D$27,"-")</f>
        <v>115.868853882388</v>
      </c>
      <c r="K21" s="17" t="n">
        <f aca="false">IF(A21&lt;=가정!$D$31,1,IF(A21&lt;=가정!$D$32,2,IF(A21&lt;=가정!$D$33,3,IF(A21&lt;=가정!$D$34,4,5))))</f>
        <v>4</v>
      </c>
      <c r="L21" s="17" t="n">
        <f aca="false">IF(K21=1,1,IF(K21=2,가정!$D$31+1,IF(K21=3,가정!$D$32+1,IF(K21=4,가정!$D$33+1,가정!$D$34+1))))</f>
        <v>15</v>
      </c>
      <c r="M21" s="17" t="n">
        <f aca="false">IF(K21=1,가정!$D$31,IF(K21=2,가정!$D$32,IF(K21=3,가정!$D$33,IF(K21=4,가정!$D$34,가정!$D$5))))</f>
        <v>18</v>
      </c>
      <c r="N21" s="17" t="n">
        <f aca="false">ROUND(가정!$D$36+(가정!$D$37*(1+가정!$D$38)^(K21-1)-가정!$D$36)*(A21-L21)/(M21-L21),0)</f>
        <v>34</v>
      </c>
      <c r="O21" s="17" t="n">
        <f aca="false">IF(C21="보스",N21,가정!$D$35)</f>
        <v>34</v>
      </c>
      <c r="P21" s="17" t="n">
        <f aca="false">IF(C21="보스",ROUND(N21*가정!$D$39,0),N21)</f>
        <v>102</v>
      </c>
      <c r="Q21" s="19" t="str">
        <f aca="false">IF(C21="보스","보스 고유 재화 별도 지급","")</f>
        <v>보스 고유 재화 별도 지급</v>
      </c>
    </row>
    <row r="22" customFormat="false" ht="15" hidden="false" customHeight="false" outlineLevel="0" collapsed="false">
      <c r="A22" s="17" t="n">
        <v>19</v>
      </c>
      <c r="B22" s="17" t="str">
        <f aca="false">IF(A22&lt;=가정!$D$6,"초반",IF(A22&lt;=가정!$D$7,"중반",IF(A22&lt;=가정!$D$8,"후반","엔드")))</f>
        <v>엔드</v>
      </c>
      <c r="C22" s="17" t="str">
        <f aca="false">IF(OR(A22=가정!$D$31,A22=가정!$D$32,A22=가정!$D$33,A22=가정!$D$34,A22=가정!$D$5),"보스","일반")</f>
        <v>일반</v>
      </c>
      <c r="D22" s="18" t="n">
        <f aca="false">D21*(1+IF(B22="초반",가정!$D$12,IF(B22="중반",가정!$D$13,IF(B22="후반",가정!$D$14,가정!$D$15))))</f>
        <v>61149051.5625</v>
      </c>
      <c r="E22" s="21" t="n">
        <f aca="false">D22/D21-1</f>
        <v>3</v>
      </c>
      <c r="F22" s="18" t="n">
        <f aca="false">F21*(1+IF(B22="초반",가정!$D$19,IF(B22="중반",가정!$D$20,IF(B22="후반",가정!$D$21,가정!$D$22))))</f>
        <v>72.4180336764922</v>
      </c>
      <c r="G22" s="21" t="n">
        <f aca="false">F22/F21-1</f>
        <v>0.25</v>
      </c>
      <c r="H22" s="20"/>
      <c r="I22" s="18" t="str">
        <f aca="false">IF(C22="보스",D22*가정!$D$26,"-")</f>
        <v>-</v>
      </c>
      <c r="J22" s="18" t="str">
        <f aca="false">IF(C22="보스",F22*가정!$D$27,"-")</f>
        <v>-</v>
      </c>
      <c r="K22" s="17" t="n">
        <f aca="false">IF(A22&lt;=가정!$D$31,1,IF(A22&lt;=가정!$D$32,2,IF(A22&lt;=가정!$D$33,3,IF(A22&lt;=가정!$D$34,4,5))))</f>
        <v>5</v>
      </c>
      <c r="L22" s="17" t="n">
        <f aca="false">IF(K22=1,1,IF(K22=2,가정!$D$31+1,IF(K22=3,가정!$D$32+1,IF(K22=4,가정!$D$33+1,가정!$D$34+1))))</f>
        <v>19</v>
      </c>
      <c r="M22" s="17" t="n">
        <f aca="false">IF(K22=1,가정!$D$31,IF(K22=2,가정!$D$32,IF(K22=3,가정!$D$33,IF(K22=4,가정!$D$34,가정!$D$5))))</f>
        <v>22</v>
      </c>
      <c r="N22" s="17" t="n">
        <f aca="false">ROUND(가정!$D$36+(가정!$D$37*(1+가정!$D$38)^(K22-1)-가정!$D$36)*(A22-L22)/(M22-L22),0)</f>
        <v>2</v>
      </c>
      <c r="O22" s="17" t="n">
        <f aca="false">IF(C22="보스",N22,가정!$D$35)</f>
        <v>0</v>
      </c>
      <c r="P22" s="17" t="n">
        <f aca="false">IF(C22="보스",ROUND(N22*가정!$D$39,0),N22)</f>
        <v>2</v>
      </c>
      <c r="Q22" s="19" t="str">
        <f aca="false">IF(C22="보스","보스 고유 재화 별도 지급","")</f>
        <v/>
      </c>
    </row>
    <row r="23" customFormat="false" ht="15" hidden="false" customHeight="false" outlineLevel="0" collapsed="false">
      <c r="A23" s="17" t="n">
        <v>20</v>
      </c>
      <c r="B23" s="17" t="str">
        <f aca="false">IF(A23&lt;=가정!$D$6,"초반",IF(A23&lt;=가정!$D$7,"중반",IF(A23&lt;=가정!$D$8,"후반","엔드")))</f>
        <v>엔드</v>
      </c>
      <c r="C23" s="17" t="str">
        <f aca="false">IF(OR(A23=가정!$D$31,A23=가정!$D$32,A23=가정!$D$33,A23=가정!$D$34,A23=가정!$D$5),"보스","일반")</f>
        <v>일반</v>
      </c>
      <c r="D23" s="18" t="n">
        <f aca="false">D22*(1+IF(B23="초반",가정!$D$12,IF(B23="중반",가정!$D$13,IF(B23="후반",가정!$D$14,가정!$D$15))))</f>
        <v>244596206.25</v>
      </c>
      <c r="E23" s="21" t="n">
        <f aca="false">D23/D22-1</f>
        <v>3</v>
      </c>
      <c r="F23" s="18" t="n">
        <f aca="false">F22*(1+IF(B23="초반",가정!$D$19,IF(B23="중반",가정!$D$20,IF(B23="후반",가정!$D$21,가정!$D$22))))</f>
        <v>90.5225420956152</v>
      </c>
      <c r="G23" s="21" t="n">
        <f aca="false">F23/F22-1</f>
        <v>0.25</v>
      </c>
      <c r="H23" s="20"/>
      <c r="I23" s="18" t="str">
        <f aca="false">IF(C23="보스",D23*가정!$D$26,"-")</f>
        <v>-</v>
      </c>
      <c r="J23" s="18" t="str">
        <f aca="false">IF(C23="보스",F23*가정!$D$27,"-")</f>
        <v>-</v>
      </c>
      <c r="K23" s="17" t="n">
        <f aca="false">IF(A23&lt;=가정!$D$31,1,IF(A23&lt;=가정!$D$32,2,IF(A23&lt;=가정!$D$33,3,IF(A23&lt;=가정!$D$34,4,5))))</f>
        <v>5</v>
      </c>
      <c r="L23" s="17" t="n">
        <f aca="false">IF(K23=1,1,IF(K23=2,가정!$D$31+1,IF(K23=3,가정!$D$32+1,IF(K23=4,가정!$D$33+1,가정!$D$34+1))))</f>
        <v>19</v>
      </c>
      <c r="M23" s="17" t="n">
        <f aca="false">IF(K23=1,가정!$D$31,IF(K23=2,가정!$D$32,IF(K23=3,가정!$D$33,IF(K23=4,가정!$D$34,가정!$D$5))))</f>
        <v>22</v>
      </c>
      <c r="N23" s="17" t="n">
        <f aca="false">ROUND(가정!$D$36+(가정!$D$37*(1+가정!$D$38)^(K23-1)-가정!$D$36)*(A23-L23)/(M23-L23),0)</f>
        <v>18</v>
      </c>
      <c r="O23" s="17" t="n">
        <f aca="false">IF(C23="보스",N23,가정!$D$35)</f>
        <v>0</v>
      </c>
      <c r="P23" s="17" t="n">
        <f aca="false">IF(C23="보스",ROUND(N23*가정!$D$39,0),N23)</f>
        <v>18</v>
      </c>
      <c r="Q23" s="19" t="str">
        <f aca="false">IF(C23="보스","보스 고유 재화 별도 지급","")</f>
        <v/>
      </c>
    </row>
    <row r="24" customFormat="false" ht="15" hidden="false" customHeight="false" outlineLevel="0" collapsed="false">
      <c r="A24" s="17" t="n">
        <v>21</v>
      </c>
      <c r="B24" s="17" t="str">
        <f aca="false">IF(A24&lt;=가정!$D$6,"초반",IF(A24&lt;=가정!$D$7,"중반",IF(A24&lt;=가정!$D$8,"후반","엔드")))</f>
        <v>엔드</v>
      </c>
      <c r="C24" s="17" t="str">
        <f aca="false">IF(OR(A24=가정!$D$31,A24=가정!$D$32,A24=가정!$D$33,A24=가정!$D$34,A24=가정!$D$5),"보스","일반")</f>
        <v>일반</v>
      </c>
      <c r="D24" s="18" t="n">
        <f aca="false">D23*(1+IF(B24="초반",가정!$D$12,IF(B24="중반",가정!$D$13,IF(B24="후반",가정!$D$14,가정!$D$15))))</f>
        <v>978384825</v>
      </c>
      <c r="E24" s="21" t="n">
        <f aca="false">D24/D23-1</f>
        <v>3</v>
      </c>
      <c r="F24" s="18" t="n">
        <f aca="false">F23*(1+IF(B24="초반",가정!$D$19,IF(B24="중반",가정!$D$20,IF(B24="후반",가정!$D$21,가정!$D$22))))</f>
        <v>113.153177619519</v>
      </c>
      <c r="G24" s="21" t="n">
        <f aca="false">F24/F23-1</f>
        <v>0.25</v>
      </c>
      <c r="H24" s="20"/>
      <c r="I24" s="18" t="str">
        <f aca="false">IF(C24="보스",D24*가정!$D$26,"-")</f>
        <v>-</v>
      </c>
      <c r="J24" s="18" t="str">
        <f aca="false">IF(C24="보스",F24*가정!$D$27,"-")</f>
        <v>-</v>
      </c>
      <c r="K24" s="17" t="n">
        <f aca="false">IF(A24&lt;=가정!$D$31,1,IF(A24&lt;=가정!$D$32,2,IF(A24&lt;=가정!$D$33,3,IF(A24&lt;=가정!$D$34,4,5))))</f>
        <v>5</v>
      </c>
      <c r="L24" s="17" t="n">
        <f aca="false">IF(K24=1,1,IF(K24=2,가정!$D$31+1,IF(K24=3,가정!$D$32+1,IF(K24=4,가정!$D$33+1,가정!$D$34+1))))</f>
        <v>19</v>
      </c>
      <c r="M24" s="17" t="n">
        <f aca="false">IF(K24=1,가정!$D$31,IF(K24=2,가정!$D$32,IF(K24=3,가정!$D$33,IF(K24=4,가정!$D$34,가정!$D$5))))</f>
        <v>22</v>
      </c>
      <c r="N24" s="17" t="n">
        <f aca="false">ROUND(가정!$D$36+(가정!$D$37*(1+가정!$D$38)^(K24-1)-가정!$D$36)*(A24-L24)/(M24-L24),0)</f>
        <v>34</v>
      </c>
      <c r="O24" s="17" t="n">
        <f aca="false">IF(C24="보스",N24,가정!$D$35)</f>
        <v>0</v>
      </c>
      <c r="P24" s="17" t="n">
        <f aca="false">IF(C24="보스",ROUND(N24*가정!$D$39,0),N24)</f>
        <v>34</v>
      </c>
      <c r="Q24" s="19" t="str">
        <f aca="false">IF(C24="보스","보스 고유 재화 별도 지급","")</f>
        <v/>
      </c>
    </row>
    <row r="25" customFormat="false" ht="15" hidden="false" customHeight="false" outlineLevel="0" collapsed="false">
      <c r="A25" s="17" t="n">
        <v>22</v>
      </c>
      <c r="B25" s="17" t="str">
        <f aca="false">IF(A25&lt;=가정!$D$6,"초반",IF(A25&lt;=가정!$D$7,"중반",IF(A25&lt;=가정!$D$8,"후반","엔드")))</f>
        <v>엔드</v>
      </c>
      <c r="C25" s="17" t="str">
        <f aca="false">IF(OR(A25=가정!$D$31,A25=가정!$D$32,A25=가정!$D$33,A25=가정!$D$34,A25=가정!$D$5),"보스","일반")</f>
        <v>보스</v>
      </c>
      <c r="D25" s="18" t="n">
        <f aca="false">D24*(1+IF(B25="초반",가정!$D$12,IF(B25="중반",가정!$D$13,IF(B25="후반",가정!$D$14,가정!$D$15))))</f>
        <v>3913539300</v>
      </c>
      <c r="E25" s="21" t="n">
        <f aca="false">D25/D24-1</f>
        <v>3</v>
      </c>
      <c r="F25" s="18" t="n">
        <f aca="false">F24*(1+IF(B25="초반",가정!$D$19,IF(B25="중반",가정!$D$20,IF(B25="후반",가정!$D$21,가정!$D$22))))</f>
        <v>141.441472024399</v>
      </c>
      <c r="G25" s="21" t="n">
        <f aca="false">F25/F24-1</f>
        <v>0.25</v>
      </c>
      <c r="H25" s="20"/>
      <c r="I25" s="18" t="n">
        <f aca="false">IF(C25="보스",D25*가정!$D$26,"-")</f>
        <v>19567696500</v>
      </c>
      <c r="J25" s="18" t="n">
        <f aca="false">IF(C25="보스",F25*가정!$D$27,"-")</f>
        <v>282.882944048798</v>
      </c>
      <c r="K25" s="17" t="n">
        <f aca="false">IF(A25&lt;=가정!$D$31,1,IF(A25&lt;=가정!$D$32,2,IF(A25&lt;=가정!$D$33,3,IF(A25&lt;=가정!$D$34,4,5))))</f>
        <v>5</v>
      </c>
      <c r="L25" s="17" t="n">
        <f aca="false">IF(K25=1,1,IF(K25=2,가정!$D$31+1,IF(K25=3,가정!$D$32+1,IF(K25=4,가정!$D$33+1,가정!$D$34+1))))</f>
        <v>19</v>
      </c>
      <c r="M25" s="17" t="n">
        <f aca="false">IF(K25=1,가정!$D$31,IF(K25=2,가정!$D$32,IF(K25=3,가정!$D$33,IF(K25=4,가정!$D$34,가정!$D$5))))</f>
        <v>22</v>
      </c>
      <c r="N25" s="17" t="n">
        <f aca="false">ROUND(가정!$D$36+(가정!$D$37*(1+가정!$D$38)^(K25-1)-가정!$D$36)*(A25-L25)/(M25-L25),0)</f>
        <v>51</v>
      </c>
      <c r="O25" s="17" t="n">
        <f aca="false">IF(C25="보스",N25,가정!$D$35)</f>
        <v>51</v>
      </c>
      <c r="P25" s="17" t="n">
        <f aca="false">IF(C25="보스",ROUND(N25*가정!$D$39,0),N25)</f>
        <v>153</v>
      </c>
      <c r="Q25" s="19" t="str">
        <f aca="false">IF(C25="보스","보스 고유 재화 별도 지급","")</f>
        <v>보스 고유 재화 별도 지급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2026-07-09T00:31:08Z</dcterms:created>
  <dc:creator>openpyxl</dc:creator>
  <dc:description/>
  <dc:language>en-US</dc:language>
  <cp:lastModifiedBy/>
  <dcterms:modified xsi:type="dcterms:W3CDTF">2026-07-09T00:31:10Z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