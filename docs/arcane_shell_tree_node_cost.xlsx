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깊이별 비용" sheetId="2" state="visible" r:id="rId4"/>
    <sheet name="노드 내부 강화 예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<sst xmlns="http://schemas.openxmlformats.org/spreadsheetml/2006/main" count="41" uniqueCount="39">
  <si>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아르카나 트리 — 노드 비용 곡선 가정</t>
  </si>
  <si>
    <r>
      <rPr>
        <b val="true"/>
        <sz val="11"/>
        <color rgb="FF1F4E78"/>
        <rFont val="Noto Sans CJK SC"/>
        <family val="2"/>
      </rPr>
      <t xml:space="preserve">랭크 </t>
    </r>
    <r>
      <rPr>
        <b val="true"/>
        <sz val="11"/>
        <color rgb="FF1F4E78"/>
        <rFont val="Arial"/>
        <family val="0"/>
        <charset val="1"/>
      </rPr>
      <t xml:space="preserve">/ </t>
    </r>
    <r>
      <rPr>
        <b val="true"/>
        <sz val="11"/>
        <color rgb="FF1F4E78"/>
        <rFont val="Noto Sans CJK SC"/>
        <family val="2"/>
      </rPr>
      <t xml:space="preserve">깊이 구조</t>
    </r>
  </si>
  <si>
    <t xml:space="preserve">총 랭크 수</t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</si>
  <si>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1 (</t>
    </r>
    <r>
      <rPr>
        <sz val="11"/>
        <color theme="1"/>
        <rFont val="Noto Sans CJK SC"/>
        <family val="2"/>
      </rPr>
      <t xml:space="preserve">초반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깊이</t>
    </r>
  </si>
  <si>
    <r>
      <rPr>
        <sz val="11"/>
        <color theme="1"/>
        <rFont val="Noto Sans CJK SC"/>
        <family val="2"/>
      </rPr>
      <t xml:space="preserve">랭크</t>
    </r>
    <r>
      <rPr>
        <sz val="11"/>
        <color theme="1"/>
        <rFont val="Calibri"/>
        <family val="2"/>
        <charset val="1"/>
      </rPr>
      <t xml:space="preserve">2~N </t>
    </r>
    <r>
      <rPr>
        <sz val="11"/>
        <color theme="1"/>
        <rFont val="Noto Sans CJK SC"/>
        <family val="2"/>
      </rPr>
      <t xml:space="preserve">깊이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랭크당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</si>
  <si>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총 깊이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자동계산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</si>
  <si>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F4E78"/>
        <rFont val="Noto Sans CJK SC"/>
        <family val="2"/>
      </rPr>
      <t xml:space="preserve">깊이별 노드 해금 비용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마석</t>
    </r>
    <r>
      <rPr>
        <b val="true"/>
        <sz val="11"/>
        <color rgb="FF1F4E78"/>
        <rFont val="Arial"/>
        <family val="0"/>
        <charset val="1"/>
      </rPr>
      <t xml:space="preserve">, 1</t>
    </r>
    <r>
      <rPr>
        <b val="true"/>
        <sz val="11"/>
        <color rgb="FF1F4E78"/>
        <rFont val="Noto Sans CJK SC"/>
        <family val="2"/>
      </rPr>
      <t xml:space="preserve">강 기준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</si>
  <si>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마석 등급 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랭크와 매핑</t>
    </r>
    <r>
      <rPr>
        <sz val="11"/>
        <color theme="1"/>
        <rFont val="Calibri"/>
        <family val="2"/>
        <charset val="1"/>
      </rPr>
      <t xml:space="preserve">: 2</t>
    </r>
    <r>
      <rPr>
        <sz val="11"/>
        <color theme="1"/>
        <rFont val="Noto Sans CJK SC"/>
        <family val="2"/>
      </rPr>
      <t xml:space="preserve">랭크당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</si>
  <si>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시작비용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해당 등급 첫 깊이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</si>
  <si>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시작비용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</si>
  <si>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시작비용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</si>
  <si>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시작비용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</si>
  <si>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시작비용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</si>
  <si>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깊이당 성장률 </t>
    </r>
    <r>
      <rPr>
        <sz val="11"/>
        <color theme="1"/>
        <rFont val="Calibri"/>
        <family val="2"/>
        <charset val="1"/>
      </rPr>
      <t xml:space="preserve">(%, </t>
    </r>
    <r>
      <rPr>
        <sz val="11"/>
        <color theme="1"/>
        <rFont val="Noto Sans CJK SC"/>
        <family val="2"/>
      </rPr>
      <t xml:space="preserve">복리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</si>
  <si>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깊이당 성장률 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</si>
  <si>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깊이당 성장률 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</si>
  <si>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깊이당 성장률 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</si>
  <si>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깊이당 성장률 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</si>
  <si>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Noto Sans CJK SC"/>
        <family val="2"/>
      </rPr>
      <t xml:space="preserve">등급 내부 랭크 전환 시 추가 배율 </t>
    </r>
    <r>
      <rPr>
        <sz val="11"/>
        <color theme="1"/>
        <rFont val="Calibri"/>
        <family val="2"/>
        <charset val="1"/>
      </rPr>
      <t xml:space="preserve">(%)</t>
    </r>
  </si>
  <si>
    <r>
      <rPr>
        <b val="true"/>
        <sz val="11"/>
        <color rgb="FF1F4E78"/>
        <rFont val="Noto Sans CJK SC"/>
        <family val="2"/>
      </rPr>
      <t xml:space="preserve">노드 내부 강화 비용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같은 노드</t>
    </r>
    <r>
      <rPr>
        <b val="true"/>
        <sz val="11"/>
        <color rgb="FF1F4E78"/>
        <rFont val="Arial"/>
        <family val="0"/>
        <charset val="1"/>
      </rPr>
      <t xml:space="preserve">, </t>
    </r>
    <r>
      <rPr>
        <b val="true"/>
        <sz val="11"/>
        <color rgb="FF1F4E78"/>
        <rFont val="Noto Sans CJK SC"/>
        <family val="2"/>
      </rPr>
      <t xml:space="preserve">강화 단계별</t>
    </r>
    <r>
      <rPr>
        <b val="true"/>
        <sz val="11"/>
        <color rgb="FF1F4E78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</si>
  <si>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노드 내 강화 성장률 </t>
    </r>
    <r>
      <rPr>
        <sz val="11"/>
        <color theme="1"/>
        <rFont val="Calibri"/>
        <family val="2"/>
        <charset val="1"/>
      </rPr>
      <t xml:space="preserve">(%, </t>
    </r>
    <r>
      <rPr>
        <sz val="11"/>
        <color theme="1"/>
        <rFont val="Noto Sans CJK SC"/>
        <family val="2"/>
      </rPr>
      <t xml:space="preserve">복리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</si>
  <si>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예시용 강화 횟수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실제는 노드마다 </t>
    </r>
    <r>
      <rPr>
        <sz val="11"/>
        <color theme="1"/>
        <rFont val="Calibri"/>
        <family val="2"/>
        <charset val="1"/>
      </rPr>
      <t xml:space="preserve">5~10 </t>
    </r>
    <r>
      <rPr>
        <sz val="11"/>
        <color theme="1"/>
        <rFont val="Noto Sans CJK SC"/>
        <family val="2"/>
      </rPr>
      <t xml:space="preserve">개별 지정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</si>
  <si>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※ 파란 글씨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입력값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등급이 바뀌는 첫 깊이는 등급별 시작비용으로 초기화되고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같은 등급 안에서는 그 등급의 깊이당 성장률로 복리 증가하다가 등급 내부 랭크 전환 시 한 번 더 배율이 붙습니다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등급이 오를수록 깊이당 성장률 자체가 배로 뛰어</t>
    </r>
    <r>
      <rPr>
        <i val="true"/>
        <sz val="9"/>
        <color rgb="FF808080"/>
        <rFont val="Arial"/>
        <family val="0"/>
        <charset val="1"/>
      </rPr>
      <t xml:space="preserve">(40%→80%→160%→320%→640%) </t>
    </r>
    <r>
      <rPr>
        <i val="true"/>
        <sz val="9"/>
        <color rgb="FF808080"/>
        <rFont val="Noto Sans CJK SC"/>
        <family val="2"/>
      </rPr>
      <t xml:space="preserve">후반으로 갈수록 곡선이 극도로 가팔라집니다 — 이 구간부터는 수동 사냥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강화가 아니라 스크립트 자동화가 사실상 필수가 되도록 의도한 설계입니다</t>
    </r>
    <r>
      <rPr>
        <i val="true"/>
        <sz val="9"/>
        <color rgb="FF808080"/>
        <rFont val="Arial"/>
        <family val="0"/>
        <charset val="1"/>
      </rPr>
      <t xml:space="preserve">. '</t>
    </r>
    <r>
      <rPr>
        <i val="true"/>
        <sz val="9"/>
        <color rgb="FF808080"/>
        <rFont val="Noto Sans CJK SC"/>
        <family val="2"/>
      </rPr>
      <t xml:space="preserve">깊이별 비용</t>
    </r>
    <r>
      <rPr>
        <i val="true"/>
        <sz val="9"/>
        <color rgb="FF808080"/>
        <rFont val="Arial"/>
        <family val="0"/>
        <charset val="1"/>
      </rPr>
      <t xml:space="preserve">' </t>
    </r>
    <r>
      <rPr>
        <i val="true"/>
        <sz val="9"/>
        <color rgb="FF808080"/>
        <rFont val="Noto Sans CJK SC"/>
        <family val="2"/>
      </rPr>
      <t xml:space="preserve">시트는 깊이마다 노드를 처음 해금</t>
    </r>
    <r>
      <rPr>
        <i val="true"/>
        <sz val="9"/>
        <color rgb="FF808080"/>
        <rFont val="Arial"/>
        <family val="0"/>
        <charset val="1"/>
      </rPr>
      <t xml:space="preserve">(1</t>
    </r>
    <r>
      <rPr>
        <i val="true"/>
        <sz val="9"/>
        <color rgb="FF808080"/>
        <rFont val="Noto Sans CJK SC"/>
        <family val="2"/>
      </rPr>
      <t xml:space="preserve">강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하는 비용</t>
    </r>
    <r>
      <rPr>
        <i val="true"/>
        <sz val="9"/>
        <color rgb="FF808080"/>
        <rFont val="Arial"/>
        <family val="0"/>
        <charset val="1"/>
      </rPr>
      <t xml:space="preserve">, '</t>
    </r>
    <r>
      <rPr>
        <i val="true"/>
        <sz val="9"/>
        <color rgb="FF808080"/>
        <rFont val="Noto Sans CJK SC"/>
        <family val="2"/>
      </rPr>
      <t xml:space="preserve">노드 내부 강화 예시</t>
    </r>
    <r>
      <rPr>
        <i val="true"/>
        <sz val="9"/>
        <color rgb="FF808080"/>
        <rFont val="Arial"/>
        <family val="0"/>
        <charset val="1"/>
      </rPr>
      <t xml:space="preserve">' </t>
    </r>
    <r>
      <rPr>
        <i val="true"/>
        <sz val="9"/>
        <color rgb="FF808080"/>
        <rFont val="Noto Sans CJK SC"/>
        <family val="2"/>
      </rPr>
      <t xml:space="preserve">시트는 같은 노드를 반복 강화할 때 비용이 어떻게 붙는지 보여줍니다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</si>
  <si>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깊이별 노드 해금 비용 </t>
    </r>
    <r>
      <rPr>
        <b val="true"/>
        <sz val="14"/>
        <rFont val="Arial"/>
        <family val="0"/>
        <charset val="1"/>
      </rPr>
      <t xml:space="preserve">(1</t>
    </r>
    <r>
      <rPr>
        <b val="true"/>
        <sz val="14"/>
        <rFont val="Noto Sans CJK SC"/>
        <family val="2"/>
      </rPr>
      <t xml:space="preserve">강 기준</t>
    </r>
    <r>
      <rPr>
        <b val="true"/>
        <sz val="14"/>
        <rFont val="Arial"/>
        <family val="0"/>
        <charset val="1"/>
      </rPr>
      <t xml:space="preserve">)</t>
    </r>
  </si>
  <si>
    <t xml:space="preserve">깊이</t>
  </si>
  <si>
    <t xml:space="preserve">랭크</t>
  </si>
  <si>
    <t xml:space="preserve">요구 마석 등급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</si>
  <si>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강 비용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마석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</si>
  <si>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전깊이 대비 증가율</t>
  </si>
  <si>
    <t xml:space="preserve">-</t>
  </si>
  <si>
    <r>
      <rPr>
        <b val="true"/>
        <sz val="14"/>
        <rFont val="Noto Sans CJK SC"/>
        <family val="2"/>
      </rPr>
      <t xml:space="preserve">노드 내부 강화 비용 예시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같은 노드 반복 강화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</si>
  <si>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실제 강화 횟수는 노드마다 </t>
    </r>
    <r>
      <rPr>
        <i val="true"/>
        <sz val="9"/>
        <color rgb="FF808080"/>
        <rFont val="Arial"/>
        <family val="0"/>
        <charset val="1"/>
      </rPr>
      <t xml:space="preserve">5~10</t>
    </r>
    <r>
      <rPr>
        <i val="true"/>
        <sz val="9"/>
        <color rgb="FF808080"/>
        <rFont val="Noto Sans CJK SC"/>
        <family val="2"/>
      </rPr>
      <t xml:space="preserve">회로 다르게 지정됩니다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아래는 예시 깊이 기준 계산입니다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</si>
  <si>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예시 노드의 깊이</t>
  </si>
  <si>
    <r>
      <rPr>
        <sz val="11"/>
        <color theme="1"/>
        <rFont val="Noto Sans CJK SC"/>
        <family val="2"/>
      </rPr>
      <t xml:space="preserve">해당 깊이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강 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깊이별비용 시트 참조</t>
    </r>
    <r>
      <rPr>
        <sz val="11"/>
        <color theme="1"/>
        <rFont val="Calibri"/>
        <family val="2"/>
        <charset val="1"/>
      </rPr>
      <t xml:space="preserve">)</t>
    </r>
  </si>
  <si>
    <t xml:space="preserve">강화 단계</t>
  </si>
  <si>
    <t xml:space="preserve">누적 마석 소모</t>
  </si>
  <si>
    <t xml:space="preserve">이번 단계 소모</t>
  </si>
  <si>
    <t xml:space="preserve">전단계 대비 증가율</t>
  </si>
  <si>
    <r>
      <rPr>
        <i val="true"/>
        <sz val="9"/>
        <color rgb="FF808080"/>
        <rFont val="Arial"/>
        <family val="0"/>
        <charset val="1"/>
      </rPr>
      <t xml:space="preserve">5~10</t>
    </r>
    <r>
      <rPr>
        <i val="true"/>
        <sz val="9"/>
        <color rgb="FF808080"/>
        <rFont val="Noto Sans CJK SC"/>
        <family val="2"/>
      </rPr>
      <t xml:space="preserve">회 범위이므로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실제 노드 설계 시 이 표의 강화단계 행 수를 노드별로 잘라 사용하면 됩니다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예</t>
    </r>
    <r>
      <rPr>
        <i val="true"/>
        <sz val="9"/>
        <color rgb="FF808080"/>
        <rFont val="Arial"/>
        <family val="0"/>
        <charset val="1"/>
      </rPr>
      <t xml:space="preserve">: 6</t>
    </r>
    <r>
      <rPr>
        <i val="true"/>
        <sz val="9"/>
        <color rgb="FF808080"/>
        <rFont val="Noto Sans CJK SC"/>
        <family val="2"/>
      </rPr>
      <t xml:space="preserve">회짜리 노드는 </t>
    </r>
    <r>
      <rPr>
        <i val="true"/>
        <sz val="9"/>
        <color rgb="FF808080"/>
        <rFont val="Arial"/>
        <family val="0"/>
        <charset val="1"/>
      </rPr>
      <t xml:space="preserve">1~6</t>
    </r>
    <r>
      <rPr>
        <i val="true"/>
        <sz val="9"/>
        <color rgb="FF808080"/>
        <rFont val="Noto Sans CJK SC"/>
        <family val="2"/>
      </rPr>
      <t xml:space="preserve">단계만 적용</t>
    </r>
    <r>
      <rPr>
        <i val="true"/>
        <sz val="9"/>
        <color rgb="FF808080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</si>
</sst>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#,##0"/>
    <numFmt numFmtId="168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1"/>
      <color rgb="FF1F4E78"/>
      <name val="Noto Sans CJK SC"/>
      <family val="2"/>
    </font>
    <font>
      <b val="true"/>
      <sz val="11"/>
      <color rgb="FF1F4E78"/>
      <name val="Arial"/>
      <family val="0"/>
      <charset val="1"/>
    </font>
    <font>
      <sz val="11"/>
      <color theme="1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깊이별 노드 1강 비용 곡선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'깊이별 비용'!D3</c:f>
              <c:strCache>
                <c:ptCount val="1"/>
                <c:pt idx="0">
                  <c:v>1강 비용 (마석)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'깊이별 비용'!$A$4:$A$58</c:f>
              <c:strCach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strCache>
            </c:strRef>
          </c:cat>
          <c:val>
            <c:numRef>
              <c:f>'깊이별 비용'!$D$4:$D$58</c:f>
              <c:numCache>
                <c:formatCode>#,##0</c:formatCode>
                <c:ptCount val="55"/>
                <c:pt idx="0">
                  <c:v>10</c:v>
                </c:pt>
                <c:pt idx="1">
                  <c:v>14</c:v>
                </c:pt>
                <c:pt idx="2">
                  <c:v>19.6</c:v>
                </c:pt>
                <c:pt idx="3">
                  <c:v>27.44</c:v>
                </c:pt>
                <c:pt idx="4">
                  <c:v>38.416</c:v>
                </c:pt>
                <c:pt idx="5">
                  <c:v>53.7824</c:v>
                </c:pt>
                <c:pt idx="6">
                  <c:v>75.29536</c:v>
                </c:pt>
                <c:pt idx="7">
                  <c:v>105.413504</c:v>
                </c:pt>
                <c:pt idx="8">
                  <c:v>147.5789056</c:v>
                </c:pt>
                <c:pt idx="9">
                  <c:v>206.61046784</c:v>
                </c:pt>
                <c:pt idx="10">
                  <c:v>376.0310514688</c:v>
                </c:pt>
                <c:pt idx="11">
                  <c:v>526.44347205632</c:v>
                </c:pt>
                <c:pt idx="12">
                  <c:v>737.020860878848</c:v>
                </c:pt>
                <c:pt idx="13">
                  <c:v>1031.82920523039</c:v>
                </c:pt>
                <c:pt idx="14">
                  <c:v>1444.56088732254</c:v>
                </c:pt>
                <c:pt idx="15">
                  <c:v>20</c:v>
                </c:pt>
                <c:pt idx="16">
                  <c:v>34</c:v>
                </c:pt>
                <c:pt idx="17">
                  <c:v>57.8</c:v>
                </c:pt>
                <c:pt idx="18">
                  <c:v>98.26</c:v>
                </c:pt>
                <c:pt idx="19">
                  <c:v>167.042</c:v>
                </c:pt>
                <c:pt idx="20">
                  <c:v>369.16282</c:v>
                </c:pt>
                <c:pt idx="21">
                  <c:v>627.576794</c:v>
                </c:pt>
                <c:pt idx="22">
                  <c:v>1066.8805498</c:v>
                </c:pt>
                <c:pt idx="23">
                  <c:v>1813.69693466</c:v>
                </c:pt>
                <c:pt idx="24">
                  <c:v>3083.284788922</c:v>
                </c:pt>
                <c:pt idx="25">
                  <c:v>30</c:v>
                </c:pt>
                <c:pt idx="26">
                  <c:v>60</c:v>
                </c:pt>
                <c:pt idx="27">
                  <c:v>120</c:v>
                </c:pt>
                <c:pt idx="28">
                  <c:v>240</c:v>
                </c:pt>
                <c:pt idx="29">
                  <c:v>480</c:v>
                </c:pt>
                <c:pt idx="30">
                  <c:v>1248</c:v>
                </c:pt>
                <c:pt idx="31">
                  <c:v>2496</c:v>
                </c:pt>
                <c:pt idx="32">
                  <c:v>4992</c:v>
                </c:pt>
                <c:pt idx="33">
                  <c:v>9984</c:v>
                </c:pt>
                <c:pt idx="34">
                  <c:v>19968</c:v>
                </c:pt>
                <c:pt idx="35">
                  <c:v>40</c:v>
                </c:pt>
                <c:pt idx="36">
                  <c:v>90</c:v>
                </c:pt>
                <c:pt idx="37">
                  <c:v>202.5</c:v>
                </c:pt>
                <c:pt idx="38">
                  <c:v>455.625</c:v>
                </c:pt>
                <c:pt idx="39">
                  <c:v>1025.15625</c:v>
                </c:pt>
                <c:pt idx="40">
                  <c:v>2998.58203125</c:v>
                </c:pt>
                <c:pt idx="41">
                  <c:v>6746.8095703125</c:v>
                </c:pt>
                <c:pt idx="42">
                  <c:v>15180.3215332031</c:v>
                </c:pt>
                <c:pt idx="43">
                  <c:v>34155.723449707</c:v>
                </c:pt>
                <c:pt idx="44">
                  <c:v>76850.3777618408</c:v>
                </c:pt>
                <c:pt idx="45">
                  <c:v>50</c:v>
                </c:pt>
                <c:pt idx="46">
                  <c:v>125</c:v>
                </c:pt>
                <c:pt idx="47">
                  <c:v>312.5</c:v>
                </c:pt>
                <c:pt idx="48">
                  <c:v>781.25</c:v>
                </c:pt>
                <c:pt idx="49">
                  <c:v>1953.125</c:v>
                </c:pt>
                <c:pt idx="50">
                  <c:v>6347.65625</c:v>
                </c:pt>
                <c:pt idx="51">
                  <c:v>15869.140625</c:v>
                </c:pt>
                <c:pt idx="52">
                  <c:v>39672.8515625</c:v>
                </c:pt>
                <c:pt idx="53">
                  <c:v>99182.12890625</c:v>
                </c:pt>
                <c:pt idx="54">
                  <c:v>247955.322265625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93595"/>
        <c:axId val="72956437"/>
      </c:lineChart>
      <c:catAx>
        <c:axId val="19493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깊이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56437"/>
        <c:crosses val="autoZero"/>
        <c:auto val="1"/>
        <c:lblAlgn val="ctr"/>
        <c:lblOffset val="100"/>
        <c:noMultiLvlLbl val="0"/>
      </c:catAx>
      <c:valAx>
        <c:axId val="72956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마석 비용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93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노드 내부 강화 비용 곡선 (예시 깊이 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'노드 내부 강화 예시'!C8</c:f>
              <c:strCache>
                <c:ptCount val="1"/>
                <c:pt idx="0">
                  <c:v>이번 단계 소모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'노드 내부 강화 예시'!$A$9:$A$18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'노드 내부 강화 예시'!$C$9:$C$18</c:f>
              <c:numCache>
                <c:formatCode>#,##0</c:formatCode>
                <c:ptCount val="10"/>
                <c:pt idx="0">
                  <c:v>167.042</c:v>
                </c:pt>
                <c:pt idx="1">
                  <c:v>208.8025</c:v>
                </c:pt>
                <c:pt idx="2">
                  <c:v>261.003125</c:v>
                </c:pt>
                <c:pt idx="3">
                  <c:v>326.25390625</c:v>
                </c:pt>
                <c:pt idx="4">
                  <c:v>407.8173828125</c:v>
                </c:pt>
                <c:pt idx="5">
                  <c:v>509.771728515625</c:v>
                </c:pt>
                <c:pt idx="6">
                  <c:v>637.214660644531</c:v>
                </c:pt>
                <c:pt idx="7">
                  <c:v>796.518325805664</c:v>
                </c:pt>
                <c:pt idx="8">
                  <c:v>995.64790725708</c:v>
                </c:pt>
                <c:pt idx="9">
                  <c:v>1244.55988407135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249758"/>
        <c:axId val="65970227"/>
      </c:lineChart>
      <c:catAx>
        <c:axId val="352497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강화 단계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70227"/>
        <c:crosses val="autoZero"/>
        <c:auto val="1"/>
        <c:lblAlgn val="ctr"/>
        <c:lblOffset val="100"/>
        <c:noMultiLvlLbl val="0"/>
      </c:catAx>
      <c:valAx>
        <c:axId val="65970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마석 비용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49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106560</xdr:rowOff>
    </xdr:from>
    <xdr:to>
      <xdr:col>17</xdr:col>
      <xdr:colOff>473040</xdr:colOff>
      <xdr:row>20</xdr:row>
      <xdr:rowOff>59400</xdr:rowOff>
    </xdr:to>
    <xdr:graphicFrame>
      <xdr:nvGraphicFramePr>
        <xdr:cNvPr id="0" name="Chart 1"/>
        <xdr:cNvGraphicFramePr/>
      </xdr:nvGraphicFramePr>
      <xdr:xfrm>
        <a:off x="540432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79200</xdr:rowOff>
    </xdr:from>
    <xdr:to>
      <xdr:col>15</xdr:col>
      <xdr:colOff>256320</xdr:colOff>
      <xdr:row>19</xdr:row>
      <xdr:rowOff>842400</xdr:rowOff>
    </xdr:to>
    <xdr:graphicFrame>
      <xdr:nvGraphicFramePr>
        <xdr:cNvPr id="1" name="Chart 1"/>
        <xdr:cNvGraphicFramePr/>
      </xdr:nvGraphicFramePr>
      <xdr:xfrm>
        <a:off x="5875200" y="133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3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  <c r="D4" s="3"/>
    </row>
    <row r="5" customFormat="false" ht="15" hidden="false" customHeight="false" outlineLevel="0" collapsed="false">
      <c r="B5" s="4" t="s">
        <v>2</v>
      </c>
      <c r="D5" s="5" t="n">
        <v>10</v>
      </c>
    </row>
    <row r="6" customFormat="false" ht="17.15" hidden="false" customHeight="false" outlineLevel="0" collapsed="false">
      <c r="B6" s="4" t="s">
        <v>3</v>
      </c>
      <c r="D6" s="5" t="n">
        <v>10</v>
      </c>
    </row>
    <row r="7" customFormat="false" ht="17.15" hidden="false" customHeight="false" outlineLevel="0" collapsed="false">
      <c r="B7" s="4" t="s">
        <v>4</v>
      </c>
      <c r="D7" s="5" t="n">
        <v>5</v>
      </c>
    </row>
    <row r="8" customFormat="false" ht="17.15" hidden="false" customHeight="false" outlineLevel="0" collapsed="false">
      <c r="B8" s="4" t="s">
        <v>5</v>
      </c>
      <c r="D8" s="6" t="n">
        <f aca="false">D6+(D5-1)*D7</f>
        <v>55</v>
      </c>
    </row>
    <row r="9" customFormat="false" ht="15" hidden="false" customHeight="false" outlineLevel="0" collapsed="false">
      <c r="B9" s="3"/>
      <c r="D9" s="3"/>
    </row>
    <row r="10" customFormat="false" ht="17.15" hidden="false" customHeight="false" outlineLevel="0" collapsed="false">
      <c r="B10" s="2" t="s">
        <v>6</v>
      </c>
      <c r="D10" s="3"/>
    </row>
    <row r="11" customFormat="false" ht="17.15" hidden="false" customHeight="false" outlineLevel="0" collapsed="false">
      <c r="B11" s="4" t="s">
        <v>7</v>
      </c>
      <c r="D11" s="5" t="n">
        <v>5</v>
      </c>
    </row>
    <row r="12" customFormat="false" ht="17.15" hidden="false" customHeight="false" outlineLevel="0" collapsed="false">
      <c r="B12" s="4" t="s">
        <v>8</v>
      </c>
      <c r="D12" s="5" t="n">
        <v>10</v>
      </c>
    </row>
    <row r="13" customFormat="false" ht="17.15" hidden="false" customHeight="false" outlineLevel="0" collapsed="false">
      <c r="B13" s="4" t="s">
        <v>9</v>
      </c>
      <c r="D13" s="5" t="n">
        <v>20</v>
      </c>
    </row>
    <row r="14" customFormat="false" ht="17.15" hidden="false" customHeight="false" outlineLevel="0" collapsed="false">
      <c r="B14" s="4" t="s">
        <v>10</v>
      </c>
      <c r="D14" s="5" t="n">
        <v>30</v>
      </c>
    </row>
    <row r="15" customFormat="false" ht="17.15" hidden="false" customHeight="false" outlineLevel="0" collapsed="false">
      <c r="B15" s="4" t="s">
        <v>11</v>
      </c>
      <c r="D15" s="5" t="n">
        <v>40</v>
      </c>
    </row>
    <row r="16" customFormat="false" ht="17.15" hidden="false" customHeight="false" outlineLevel="0" collapsed="false">
      <c r="B16" s="4" t="s">
        <v>12</v>
      </c>
      <c r="D16" s="5" t="n">
        <v>50</v>
      </c>
    </row>
    <row r="17" customFormat="false" ht="17.15" hidden="false" customHeight="false" outlineLevel="0" collapsed="false">
      <c r="B17" s="4" t="s">
        <v>13</v>
      </c>
      <c r="D17" s="7" t="n">
        <v>0.4</v>
      </c>
    </row>
    <row r="18" customFormat="false" ht="17.15" hidden="false" customHeight="false" outlineLevel="0" collapsed="false">
      <c r="B18" s="4" t="s">
        <v>14</v>
      </c>
      <c r="D18" s="7" t="n">
        <v>0.7</v>
      </c>
    </row>
    <row r="19" customFormat="false" ht="17.15" hidden="false" customHeight="false" outlineLevel="0" collapsed="false">
      <c r="B19" s="4" t="s">
        <v>15</v>
      </c>
      <c r="D19" s="7" t="n">
        <v>1</v>
      </c>
    </row>
    <row r="20" customFormat="false" ht="17.15" hidden="false" customHeight="false" outlineLevel="0" collapsed="false">
      <c r="B20" s="4" t="s">
        <v>16</v>
      </c>
      <c r="D20" s="7" t="n">
        <v>1.25</v>
      </c>
    </row>
    <row r="21" customFormat="false" ht="17.15" hidden="false" customHeight="false" outlineLevel="0" collapsed="false">
      <c r="B21" s="4" t="s">
        <v>17</v>
      </c>
      <c r="D21" s="7" t="n">
        <v>1.5</v>
      </c>
    </row>
    <row r="22" customFormat="false" ht="17.15" hidden="false" customHeight="false" outlineLevel="0" collapsed="false">
      <c r="B22" s="4" t="s">
        <v>18</v>
      </c>
      <c r="D22" s="7" t="n">
        <v>0.3</v>
      </c>
    </row>
    <row r="23" customFormat="false" ht="15" hidden="false" customHeight="false" outlineLevel="0" collapsed="false">
      <c r="B23" s="3"/>
      <c r="D23" s="3"/>
    </row>
    <row r="24" customFormat="false" ht="17.15" hidden="false" customHeight="false" outlineLevel="0" collapsed="false">
      <c r="B24" s="2" t="s">
        <v>19</v>
      </c>
      <c r="D24" s="3"/>
    </row>
    <row r="25" customFormat="false" ht="17.15" hidden="false" customHeight="false" outlineLevel="0" collapsed="false">
      <c r="B25" s="4" t="s">
        <v>20</v>
      </c>
      <c r="D25" s="7" t="n">
        <v>0.25</v>
      </c>
    </row>
    <row r="26" customFormat="false" ht="17.15" hidden="false" customHeight="false" outlineLevel="0" collapsed="false">
      <c r="B26" s="4" t="s">
        <v>21</v>
      </c>
      <c r="D26" s="5" t="n">
        <v>8</v>
      </c>
    </row>
    <row r="29" customFormat="false" ht="75" hidden="false" customHeight="true" outlineLevel="0" collapsed="false">
      <c r="B29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21.6" hidden="false" customHeight="false" outlineLevel="0" collapsed="false">
      <c r="A1" s="1" t="s">
        <v>23</v>
      </c>
    </row>
    <row r="3" customFormat="false" ht="17.15" hidden="false" customHeight="false" outlineLevel="0" collapsed="false">
      <c r="A3" s="9" t="s">
        <v>24</v>
      </c>
      <c r="B3" s="9" t="s">
        <v>25</v>
      </c>
      <c r="C3" s="9" t="s">
        <v>26</v>
      </c>
      <c r="D3" s="10" t="s">
        <v>27</v>
      </c>
      <c r="E3" s="9" t="s">
        <v>28</v>
      </c>
    </row>
    <row r="4" customFormat="false" ht="15" hidden="false" customHeight="false" outlineLevel="0" collapsed="false">
      <c r="A4" s="11" t="n">
        <v>1</v>
      </c>
      <c r="B4" s="11" t="n">
        <f aca="false">IF(A4&lt;=가정!$D$6,1,2+INT((A4-가정!$D$6-1)/가정!$D$7))</f>
        <v>1</v>
      </c>
      <c r="C4" s="11" t="n">
        <f aca="false">INT((B4-1)/(가정!$D$5/가정!$D$11))+1</f>
        <v>1</v>
      </c>
      <c r="D4" s="12" t="n">
        <f aca="false">가정!$D$12</f>
        <v>10</v>
      </c>
      <c r="E4" s="13" t="s">
        <v>29</v>
      </c>
    </row>
    <row r="5" customFormat="false" ht="15" hidden="false" customHeight="false" outlineLevel="0" collapsed="false">
      <c r="A5" s="11" t="n">
        <v>2</v>
      </c>
      <c r="B5" s="11" t="n">
        <f aca="false">IF(A5&lt;=가정!$D$6,1,2+INT((A5-가정!$D$6-1)/가정!$D$7))</f>
        <v>1</v>
      </c>
      <c r="C5" s="11" t="n">
        <f aca="false">INT((B5-1)/(가정!$D$5/가정!$D$11))+1</f>
        <v>1</v>
      </c>
      <c r="D5" s="12" t="n">
        <f aca="false">IF(C5&lt;&gt;C4,IF(C5=1,가정!$D$12,IF(C5=2,가정!$D$13,IF(C5=3,가정!$D$14,IF(C5=4,가정!$D$15,가정!$D$16)))),D4*(1+IF(C5=1,가정!$D$17,IF(C5=2,가정!$D$18,IF(C5=3,가정!$D$19,IF(C5=4,가정!$D$20,가정!$D$21)))))*IF(B5&lt;&gt;B4,(1+가정!$D$22),1))</f>
        <v>14</v>
      </c>
      <c r="E5" s="14" t="n">
        <f aca="false">D5/D4-1</f>
        <v>0.4</v>
      </c>
    </row>
    <row r="6" customFormat="false" ht="15" hidden="false" customHeight="false" outlineLevel="0" collapsed="false">
      <c r="A6" s="11" t="n">
        <v>3</v>
      </c>
      <c r="B6" s="11" t="n">
        <f aca="false">IF(A6&lt;=가정!$D$6,1,2+INT((A6-가정!$D$6-1)/가정!$D$7))</f>
        <v>1</v>
      </c>
      <c r="C6" s="11" t="n">
        <f aca="false">INT((B6-1)/(가정!$D$5/가정!$D$11))+1</f>
        <v>1</v>
      </c>
      <c r="D6" s="12" t="n">
        <f aca="false">IF(C6&lt;&gt;C5,IF(C6=1,가정!$D$12,IF(C6=2,가정!$D$13,IF(C6=3,가정!$D$14,IF(C6=4,가정!$D$15,가정!$D$16)))),D5*(1+IF(C6=1,가정!$D$17,IF(C6=2,가정!$D$18,IF(C6=3,가정!$D$19,IF(C6=4,가정!$D$20,가정!$D$21)))))*IF(B6&lt;&gt;B5,(1+가정!$D$22),1))</f>
        <v>19.6</v>
      </c>
      <c r="E6" s="14" t="n">
        <f aca="false">D6/D5-1</f>
        <v>0.4</v>
      </c>
    </row>
    <row r="7" customFormat="false" ht="15" hidden="false" customHeight="false" outlineLevel="0" collapsed="false">
      <c r="A7" s="11" t="n">
        <v>4</v>
      </c>
      <c r="B7" s="11" t="n">
        <f aca="false">IF(A7&lt;=가정!$D$6,1,2+INT((A7-가정!$D$6-1)/가정!$D$7))</f>
        <v>1</v>
      </c>
      <c r="C7" s="11" t="n">
        <f aca="false">INT((B7-1)/(가정!$D$5/가정!$D$11))+1</f>
        <v>1</v>
      </c>
      <c r="D7" s="12" t="n">
        <f aca="false">IF(C7&lt;&gt;C6,IF(C7=1,가정!$D$12,IF(C7=2,가정!$D$13,IF(C7=3,가정!$D$14,IF(C7=4,가정!$D$15,가정!$D$16)))),D6*(1+IF(C7=1,가정!$D$17,IF(C7=2,가정!$D$18,IF(C7=3,가정!$D$19,IF(C7=4,가정!$D$20,가정!$D$21)))))*IF(B7&lt;&gt;B6,(1+가정!$D$22),1))</f>
        <v>27.44</v>
      </c>
      <c r="E7" s="14" t="n">
        <f aca="false">D7/D6-1</f>
        <v>0.4</v>
      </c>
    </row>
    <row r="8" customFormat="false" ht="15" hidden="false" customHeight="false" outlineLevel="0" collapsed="false">
      <c r="A8" s="11" t="n">
        <v>5</v>
      </c>
      <c r="B8" s="11" t="n">
        <f aca="false">IF(A8&lt;=가정!$D$6,1,2+INT((A8-가정!$D$6-1)/가정!$D$7))</f>
        <v>1</v>
      </c>
      <c r="C8" s="11" t="n">
        <f aca="false">INT((B8-1)/(가정!$D$5/가정!$D$11))+1</f>
        <v>1</v>
      </c>
      <c r="D8" s="12" t="n">
        <f aca="false">IF(C8&lt;&gt;C7,IF(C8=1,가정!$D$12,IF(C8=2,가정!$D$13,IF(C8=3,가정!$D$14,IF(C8=4,가정!$D$15,가정!$D$16)))),D7*(1+IF(C8=1,가정!$D$17,IF(C8=2,가정!$D$18,IF(C8=3,가정!$D$19,IF(C8=4,가정!$D$20,가정!$D$21)))))*IF(B8&lt;&gt;B7,(1+가정!$D$22),1))</f>
        <v>38.416</v>
      </c>
      <c r="E8" s="14" t="n">
        <f aca="false">D8/D7-1</f>
        <v>0.4</v>
      </c>
    </row>
    <row r="9" customFormat="false" ht="15" hidden="false" customHeight="false" outlineLevel="0" collapsed="false">
      <c r="A9" s="11" t="n">
        <v>6</v>
      </c>
      <c r="B9" s="11" t="n">
        <f aca="false">IF(A9&lt;=가정!$D$6,1,2+INT((A9-가정!$D$6-1)/가정!$D$7))</f>
        <v>1</v>
      </c>
      <c r="C9" s="11" t="n">
        <f aca="false">INT((B9-1)/(가정!$D$5/가정!$D$11))+1</f>
        <v>1</v>
      </c>
      <c r="D9" s="12" t="n">
        <f aca="false">IF(C9&lt;&gt;C8,IF(C9=1,가정!$D$12,IF(C9=2,가정!$D$13,IF(C9=3,가정!$D$14,IF(C9=4,가정!$D$15,가정!$D$16)))),D8*(1+IF(C9=1,가정!$D$17,IF(C9=2,가정!$D$18,IF(C9=3,가정!$D$19,IF(C9=4,가정!$D$20,가정!$D$21)))))*IF(B9&lt;&gt;B8,(1+가정!$D$22),1))</f>
        <v>53.7824</v>
      </c>
      <c r="E9" s="14" t="n">
        <f aca="false">D9/D8-1</f>
        <v>0.4</v>
      </c>
    </row>
    <row r="10" customFormat="false" ht="15" hidden="false" customHeight="false" outlineLevel="0" collapsed="false">
      <c r="A10" s="11" t="n">
        <v>7</v>
      </c>
      <c r="B10" s="11" t="n">
        <f aca="false">IF(A10&lt;=가정!$D$6,1,2+INT((A10-가정!$D$6-1)/가정!$D$7))</f>
        <v>1</v>
      </c>
      <c r="C10" s="11" t="n">
        <f aca="false">INT((B10-1)/(가정!$D$5/가정!$D$11))+1</f>
        <v>1</v>
      </c>
      <c r="D10" s="12" t="n">
        <f aca="false">IF(C10&lt;&gt;C9,IF(C10=1,가정!$D$12,IF(C10=2,가정!$D$13,IF(C10=3,가정!$D$14,IF(C10=4,가정!$D$15,가정!$D$16)))),D9*(1+IF(C10=1,가정!$D$17,IF(C10=2,가정!$D$18,IF(C10=3,가정!$D$19,IF(C10=4,가정!$D$20,가정!$D$21)))))*IF(B10&lt;&gt;B9,(1+가정!$D$22),1))</f>
        <v>75.29536</v>
      </c>
      <c r="E10" s="14" t="n">
        <f aca="false">D10/D9-1</f>
        <v>0.4</v>
      </c>
    </row>
    <row r="11" customFormat="false" ht="15" hidden="false" customHeight="false" outlineLevel="0" collapsed="false">
      <c r="A11" s="11" t="n">
        <v>8</v>
      </c>
      <c r="B11" s="11" t="n">
        <f aca="false">IF(A11&lt;=가정!$D$6,1,2+INT((A11-가정!$D$6-1)/가정!$D$7))</f>
        <v>1</v>
      </c>
      <c r="C11" s="11" t="n">
        <f aca="false">INT((B11-1)/(가정!$D$5/가정!$D$11))+1</f>
        <v>1</v>
      </c>
      <c r="D11" s="12" t="n">
        <f aca="false">IF(C11&lt;&gt;C10,IF(C11=1,가정!$D$12,IF(C11=2,가정!$D$13,IF(C11=3,가정!$D$14,IF(C11=4,가정!$D$15,가정!$D$16)))),D10*(1+IF(C11=1,가정!$D$17,IF(C11=2,가정!$D$18,IF(C11=3,가정!$D$19,IF(C11=4,가정!$D$20,가정!$D$21)))))*IF(B11&lt;&gt;B10,(1+가정!$D$22),1))</f>
        <v>105.413504</v>
      </c>
      <c r="E11" s="14" t="n">
        <f aca="false">D11/D10-1</f>
        <v>0.4</v>
      </c>
    </row>
    <row r="12" customFormat="false" ht="15" hidden="false" customHeight="false" outlineLevel="0" collapsed="false">
      <c r="A12" s="11" t="n">
        <v>9</v>
      </c>
      <c r="B12" s="11" t="n">
        <f aca="false">IF(A12&lt;=가정!$D$6,1,2+INT((A12-가정!$D$6-1)/가정!$D$7))</f>
        <v>1</v>
      </c>
      <c r="C12" s="11" t="n">
        <f aca="false">INT((B12-1)/(가정!$D$5/가정!$D$11))+1</f>
        <v>1</v>
      </c>
      <c r="D12" s="12" t="n">
        <f aca="false">IF(C12&lt;&gt;C11,IF(C12=1,가정!$D$12,IF(C12=2,가정!$D$13,IF(C12=3,가정!$D$14,IF(C12=4,가정!$D$15,가정!$D$16)))),D11*(1+IF(C12=1,가정!$D$17,IF(C12=2,가정!$D$18,IF(C12=3,가정!$D$19,IF(C12=4,가정!$D$20,가정!$D$21)))))*IF(B12&lt;&gt;B11,(1+가정!$D$22),1))</f>
        <v>147.5789056</v>
      </c>
      <c r="E12" s="14" t="n">
        <f aca="false">D12/D11-1</f>
        <v>0.4</v>
      </c>
    </row>
    <row r="13" customFormat="false" ht="15" hidden="false" customHeight="false" outlineLevel="0" collapsed="false">
      <c r="A13" s="11" t="n">
        <v>10</v>
      </c>
      <c r="B13" s="11" t="n">
        <f aca="false">IF(A13&lt;=가정!$D$6,1,2+INT((A13-가정!$D$6-1)/가정!$D$7))</f>
        <v>1</v>
      </c>
      <c r="C13" s="11" t="n">
        <f aca="false">INT((B13-1)/(가정!$D$5/가정!$D$11))+1</f>
        <v>1</v>
      </c>
      <c r="D13" s="12" t="n">
        <f aca="false">IF(C13&lt;&gt;C12,IF(C13=1,가정!$D$12,IF(C13=2,가정!$D$13,IF(C13=3,가정!$D$14,IF(C13=4,가정!$D$15,가정!$D$16)))),D12*(1+IF(C13=1,가정!$D$17,IF(C13=2,가정!$D$18,IF(C13=3,가정!$D$19,IF(C13=4,가정!$D$20,가정!$D$21)))))*IF(B13&lt;&gt;B12,(1+가정!$D$22),1))</f>
        <v>206.61046784</v>
      </c>
      <c r="E13" s="14" t="n">
        <f aca="false">D13/D12-1</f>
        <v>0.4</v>
      </c>
    </row>
    <row r="14" customFormat="false" ht="15" hidden="false" customHeight="false" outlineLevel="0" collapsed="false">
      <c r="A14" s="11" t="n">
        <v>11</v>
      </c>
      <c r="B14" s="11" t="n">
        <f aca="false">IF(A14&lt;=가정!$D$6,1,2+INT((A14-가정!$D$6-1)/가정!$D$7))</f>
        <v>2</v>
      </c>
      <c r="C14" s="11" t="n">
        <f aca="false">INT((B14-1)/(가정!$D$5/가정!$D$11))+1</f>
        <v>1</v>
      </c>
      <c r="D14" s="12" t="n">
        <f aca="false">IF(C14&lt;&gt;C13,IF(C14=1,가정!$D$12,IF(C14=2,가정!$D$13,IF(C14=3,가정!$D$14,IF(C14=4,가정!$D$15,가정!$D$16)))),D13*(1+IF(C14=1,가정!$D$17,IF(C14=2,가정!$D$18,IF(C14=3,가정!$D$19,IF(C14=4,가정!$D$20,가정!$D$21)))))*IF(B14&lt;&gt;B13,(1+가정!$D$22),1))</f>
        <v>376.0310514688</v>
      </c>
      <c r="E14" s="14" t="n">
        <f aca="false">D14/D13-1</f>
        <v>0.82</v>
      </c>
    </row>
    <row r="15" customFormat="false" ht="15" hidden="false" customHeight="false" outlineLevel="0" collapsed="false">
      <c r="A15" s="11" t="n">
        <v>12</v>
      </c>
      <c r="B15" s="11" t="n">
        <f aca="false">IF(A15&lt;=가정!$D$6,1,2+INT((A15-가정!$D$6-1)/가정!$D$7))</f>
        <v>2</v>
      </c>
      <c r="C15" s="11" t="n">
        <f aca="false">INT((B15-1)/(가정!$D$5/가정!$D$11))+1</f>
        <v>1</v>
      </c>
      <c r="D15" s="12" t="n">
        <f aca="false">IF(C15&lt;&gt;C14,IF(C15=1,가정!$D$12,IF(C15=2,가정!$D$13,IF(C15=3,가정!$D$14,IF(C15=4,가정!$D$15,가정!$D$16)))),D14*(1+IF(C15=1,가정!$D$17,IF(C15=2,가정!$D$18,IF(C15=3,가정!$D$19,IF(C15=4,가정!$D$20,가정!$D$21)))))*IF(B15&lt;&gt;B14,(1+가정!$D$22),1))</f>
        <v>526.44347205632</v>
      </c>
      <c r="E15" s="14" t="n">
        <f aca="false">D15/D14-1</f>
        <v>0.4</v>
      </c>
    </row>
    <row r="16" customFormat="false" ht="15" hidden="false" customHeight="false" outlineLevel="0" collapsed="false">
      <c r="A16" s="11" t="n">
        <v>13</v>
      </c>
      <c r="B16" s="11" t="n">
        <f aca="false">IF(A16&lt;=가정!$D$6,1,2+INT((A16-가정!$D$6-1)/가정!$D$7))</f>
        <v>2</v>
      </c>
      <c r="C16" s="11" t="n">
        <f aca="false">INT((B16-1)/(가정!$D$5/가정!$D$11))+1</f>
        <v>1</v>
      </c>
      <c r="D16" s="12" t="n">
        <f aca="false">IF(C16&lt;&gt;C15,IF(C16=1,가정!$D$12,IF(C16=2,가정!$D$13,IF(C16=3,가정!$D$14,IF(C16=4,가정!$D$15,가정!$D$16)))),D15*(1+IF(C16=1,가정!$D$17,IF(C16=2,가정!$D$18,IF(C16=3,가정!$D$19,IF(C16=4,가정!$D$20,가정!$D$21)))))*IF(B16&lt;&gt;B15,(1+가정!$D$22),1))</f>
        <v>737.020860878848</v>
      </c>
      <c r="E16" s="14" t="n">
        <f aca="false">D16/D15-1</f>
        <v>0.4</v>
      </c>
    </row>
    <row r="17" customFormat="false" ht="15" hidden="false" customHeight="false" outlineLevel="0" collapsed="false">
      <c r="A17" s="11" t="n">
        <v>14</v>
      </c>
      <c r="B17" s="11" t="n">
        <f aca="false">IF(A17&lt;=가정!$D$6,1,2+INT((A17-가정!$D$6-1)/가정!$D$7))</f>
        <v>2</v>
      </c>
      <c r="C17" s="11" t="n">
        <f aca="false">INT((B17-1)/(가정!$D$5/가정!$D$11))+1</f>
        <v>1</v>
      </c>
      <c r="D17" s="12" t="n">
        <f aca="false">IF(C17&lt;&gt;C16,IF(C17=1,가정!$D$12,IF(C17=2,가정!$D$13,IF(C17=3,가정!$D$14,IF(C17=4,가정!$D$15,가정!$D$16)))),D16*(1+IF(C17=1,가정!$D$17,IF(C17=2,가정!$D$18,IF(C17=3,가정!$D$19,IF(C17=4,가정!$D$20,가정!$D$21)))))*IF(B17&lt;&gt;B16,(1+가정!$D$22),1))</f>
        <v>1031.82920523039</v>
      </c>
      <c r="E17" s="14" t="n">
        <f aca="false">D17/D16-1</f>
        <v>0.4</v>
      </c>
    </row>
    <row r="18" customFormat="false" ht="15" hidden="false" customHeight="false" outlineLevel="0" collapsed="false">
      <c r="A18" s="11" t="n">
        <v>15</v>
      </c>
      <c r="B18" s="11" t="n">
        <f aca="false">IF(A18&lt;=가정!$D$6,1,2+INT((A18-가정!$D$6-1)/가정!$D$7))</f>
        <v>2</v>
      </c>
      <c r="C18" s="11" t="n">
        <f aca="false">INT((B18-1)/(가정!$D$5/가정!$D$11))+1</f>
        <v>1</v>
      </c>
      <c r="D18" s="12" t="n">
        <f aca="false">IF(C18&lt;&gt;C17,IF(C18=1,가정!$D$12,IF(C18=2,가정!$D$13,IF(C18=3,가정!$D$14,IF(C18=4,가정!$D$15,가정!$D$16)))),D17*(1+IF(C18=1,가정!$D$17,IF(C18=2,가정!$D$18,IF(C18=3,가정!$D$19,IF(C18=4,가정!$D$20,가정!$D$21)))))*IF(B18&lt;&gt;B17,(1+가정!$D$22),1))</f>
        <v>1444.56088732254</v>
      </c>
      <c r="E18" s="14" t="n">
        <f aca="false">D18/D17-1</f>
        <v>0.4</v>
      </c>
    </row>
    <row r="19" customFormat="false" ht="15" hidden="false" customHeight="false" outlineLevel="0" collapsed="false">
      <c r="A19" s="11" t="n">
        <v>16</v>
      </c>
      <c r="B19" s="11" t="n">
        <f aca="false">IF(A19&lt;=가정!$D$6,1,2+INT((A19-가정!$D$6-1)/가정!$D$7))</f>
        <v>3</v>
      </c>
      <c r="C19" s="11" t="n">
        <f aca="false">INT((B19-1)/(가정!$D$5/가정!$D$11))+1</f>
        <v>2</v>
      </c>
      <c r="D19" s="12" t="n">
        <f aca="false">IF(C19&lt;&gt;C18,IF(C19=1,가정!$D$12,IF(C19=2,가정!$D$13,IF(C19=3,가정!$D$14,IF(C19=4,가정!$D$15,가정!$D$16)))),D18*(1+IF(C19=1,가정!$D$17,IF(C19=2,가정!$D$18,IF(C19=3,가정!$D$19,IF(C19=4,가정!$D$20,가정!$D$21)))))*IF(B19&lt;&gt;B18,(1+가정!$D$22),1))</f>
        <v>20</v>
      </c>
      <c r="E19" s="14" t="n">
        <f aca="false">D19/D18-1</f>
        <v>-0.986154962261875</v>
      </c>
    </row>
    <row r="20" customFormat="false" ht="15" hidden="false" customHeight="false" outlineLevel="0" collapsed="false">
      <c r="A20" s="11" t="n">
        <v>17</v>
      </c>
      <c r="B20" s="11" t="n">
        <f aca="false">IF(A20&lt;=가정!$D$6,1,2+INT((A20-가정!$D$6-1)/가정!$D$7))</f>
        <v>3</v>
      </c>
      <c r="C20" s="11" t="n">
        <f aca="false">INT((B20-1)/(가정!$D$5/가정!$D$11))+1</f>
        <v>2</v>
      </c>
      <c r="D20" s="12" t="n">
        <f aca="false">IF(C20&lt;&gt;C19,IF(C20=1,가정!$D$12,IF(C20=2,가정!$D$13,IF(C20=3,가정!$D$14,IF(C20=4,가정!$D$15,가정!$D$16)))),D19*(1+IF(C20=1,가정!$D$17,IF(C20=2,가정!$D$18,IF(C20=3,가정!$D$19,IF(C20=4,가정!$D$20,가정!$D$21)))))*IF(B20&lt;&gt;B19,(1+가정!$D$22),1))</f>
        <v>34</v>
      </c>
      <c r="E20" s="14" t="n">
        <f aca="false">D20/D19-1</f>
        <v>0.7</v>
      </c>
    </row>
    <row r="21" customFormat="false" ht="15" hidden="false" customHeight="false" outlineLevel="0" collapsed="false">
      <c r="A21" s="11" t="n">
        <v>18</v>
      </c>
      <c r="B21" s="11" t="n">
        <f aca="false">IF(A21&lt;=가정!$D$6,1,2+INT((A21-가정!$D$6-1)/가정!$D$7))</f>
        <v>3</v>
      </c>
      <c r="C21" s="11" t="n">
        <f aca="false">INT((B21-1)/(가정!$D$5/가정!$D$11))+1</f>
        <v>2</v>
      </c>
      <c r="D21" s="12" t="n">
        <f aca="false">IF(C21&lt;&gt;C20,IF(C21=1,가정!$D$12,IF(C21=2,가정!$D$13,IF(C21=3,가정!$D$14,IF(C21=4,가정!$D$15,가정!$D$16)))),D20*(1+IF(C21=1,가정!$D$17,IF(C21=2,가정!$D$18,IF(C21=3,가정!$D$19,IF(C21=4,가정!$D$20,가정!$D$21)))))*IF(B21&lt;&gt;B20,(1+가정!$D$22),1))</f>
        <v>57.8</v>
      </c>
      <c r="E21" s="14" t="n">
        <f aca="false">D21/D20-1</f>
        <v>0.7</v>
      </c>
    </row>
    <row r="22" customFormat="false" ht="15" hidden="false" customHeight="false" outlineLevel="0" collapsed="false">
      <c r="A22" s="11" t="n">
        <v>19</v>
      </c>
      <c r="B22" s="11" t="n">
        <f aca="false">IF(A22&lt;=가정!$D$6,1,2+INT((A22-가정!$D$6-1)/가정!$D$7))</f>
        <v>3</v>
      </c>
      <c r="C22" s="11" t="n">
        <f aca="false">INT((B22-1)/(가정!$D$5/가정!$D$11))+1</f>
        <v>2</v>
      </c>
      <c r="D22" s="12" t="n">
        <f aca="false">IF(C22&lt;&gt;C21,IF(C22=1,가정!$D$12,IF(C22=2,가정!$D$13,IF(C22=3,가정!$D$14,IF(C22=4,가정!$D$15,가정!$D$16)))),D21*(1+IF(C22=1,가정!$D$17,IF(C22=2,가정!$D$18,IF(C22=3,가정!$D$19,IF(C22=4,가정!$D$20,가정!$D$21)))))*IF(B22&lt;&gt;B21,(1+가정!$D$22),1))</f>
        <v>98.26</v>
      </c>
      <c r="E22" s="14" t="n">
        <f aca="false">D22/D21-1</f>
        <v>0.7</v>
      </c>
    </row>
    <row r="23" customFormat="false" ht="15" hidden="false" customHeight="false" outlineLevel="0" collapsed="false">
      <c r="A23" s="11" t="n">
        <v>20</v>
      </c>
      <c r="B23" s="11" t="n">
        <f aca="false">IF(A23&lt;=가정!$D$6,1,2+INT((A23-가정!$D$6-1)/가정!$D$7))</f>
        <v>3</v>
      </c>
      <c r="C23" s="11" t="n">
        <f aca="false">INT((B23-1)/(가정!$D$5/가정!$D$11))+1</f>
        <v>2</v>
      </c>
      <c r="D23" s="12" t="n">
        <f aca="false">IF(C23&lt;&gt;C22,IF(C23=1,가정!$D$12,IF(C23=2,가정!$D$13,IF(C23=3,가정!$D$14,IF(C23=4,가정!$D$15,가정!$D$16)))),D22*(1+IF(C23=1,가정!$D$17,IF(C23=2,가정!$D$18,IF(C23=3,가정!$D$19,IF(C23=4,가정!$D$20,가정!$D$21)))))*IF(B23&lt;&gt;B22,(1+가정!$D$22),1))</f>
        <v>167.042</v>
      </c>
      <c r="E23" s="14" t="n">
        <f aca="false">D23/D22-1</f>
        <v>0.7</v>
      </c>
    </row>
    <row r="24" customFormat="false" ht="15" hidden="false" customHeight="false" outlineLevel="0" collapsed="false">
      <c r="A24" s="11" t="n">
        <v>21</v>
      </c>
      <c r="B24" s="11" t="n">
        <f aca="false">IF(A24&lt;=가정!$D$6,1,2+INT((A24-가정!$D$6-1)/가정!$D$7))</f>
        <v>4</v>
      </c>
      <c r="C24" s="11" t="n">
        <f aca="false">INT((B24-1)/(가정!$D$5/가정!$D$11))+1</f>
        <v>2</v>
      </c>
      <c r="D24" s="12" t="n">
        <f aca="false">IF(C24&lt;&gt;C23,IF(C24=1,가정!$D$12,IF(C24=2,가정!$D$13,IF(C24=3,가정!$D$14,IF(C24=4,가정!$D$15,가정!$D$16)))),D23*(1+IF(C24=1,가정!$D$17,IF(C24=2,가정!$D$18,IF(C24=3,가정!$D$19,IF(C24=4,가정!$D$20,가정!$D$21)))))*IF(B24&lt;&gt;B23,(1+가정!$D$22),1))</f>
        <v>369.16282</v>
      </c>
      <c r="E24" s="14" t="n">
        <f aca="false">D24/D23-1</f>
        <v>1.21</v>
      </c>
    </row>
    <row r="25" customFormat="false" ht="15" hidden="false" customHeight="false" outlineLevel="0" collapsed="false">
      <c r="A25" s="11" t="n">
        <v>22</v>
      </c>
      <c r="B25" s="11" t="n">
        <f aca="false">IF(A25&lt;=가정!$D$6,1,2+INT((A25-가정!$D$6-1)/가정!$D$7))</f>
        <v>4</v>
      </c>
      <c r="C25" s="11" t="n">
        <f aca="false">INT((B25-1)/(가정!$D$5/가정!$D$11))+1</f>
        <v>2</v>
      </c>
      <c r="D25" s="12" t="n">
        <f aca="false">IF(C25&lt;&gt;C24,IF(C25=1,가정!$D$12,IF(C25=2,가정!$D$13,IF(C25=3,가정!$D$14,IF(C25=4,가정!$D$15,가정!$D$16)))),D24*(1+IF(C25=1,가정!$D$17,IF(C25=2,가정!$D$18,IF(C25=3,가정!$D$19,IF(C25=4,가정!$D$20,가정!$D$21)))))*IF(B25&lt;&gt;B24,(1+가정!$D$22),1))</f>
        <v>627.576794</v>
      </c>
      <c r="E25" s="14" t="n">
        <f aca="false">D25/D24-1</f>
        <v>0.7</v>
      </c>
    </row>
    <row r="26" customFormat="false" ht="15" hidden="false" customHeight="false" outlineLevel="0" collapsed="false">
      <c r="A26" s="11" t="n">
        <v>23</v>
      </c>
      <c r="B26" s="11" t="n">
        <f aca="false">IF(A26&lt;=가정!$D$6,1,2+INT((A26-가정!$D$6-1)/가정!$D$7))</f>
        <v>4</v>
      </c>
      <c r="C26" s="11" t="n">
        <f aca="false">INT((B26-1)/(가정!$D$5/가정!$D$11))+1</f>
        <v>2</v>
      </c>
      <c r="D26" s="12" t="n">
        <f aca="false">IF(C26&lt;&gt;C25,IF(C26=1,가정!$D$12,IF(C26=2,가정!$D$13,IF(C26=3,가정!$D$14,IF(C26=4,가정!$D$15,가정!$D$16)))),D25*(1+IF(C26=1,가정!$D$17,IF(C26=2,가정!$D$18,IF(C26=3,가정!$D$19,IF(C26=4,가정!$D$20,가정!$D$21)))))*IF(B26&lt;&gt;B25,(1+가정!$D$22),1))</f>
        <v>1066.8805498</v>
      </c>
      <c r="E26" s="14" t="n">
        <f aca="false">D26/D25-1</f>
        <v>0.7</v>
      </c>
    </row>
    <row r="27" customFormat="false" ht="15" hidden="false" customHeight="false" outlineLevel="0" collapsed="false">
      <c r="A27" s="11" t="n">
        <v>24</v>
      </c>
      <c r="B27" s="11" t="n">
        <f aca="false">IF(A27&lt;=가정!$D$6,1,2+INT((A27-가정!$D$6-1)/가정!$D$7))</f>
        <v>4</v>
      </c>
      <c r="C27" s="11" t="n">
        <f aca="false">INT((B27-1)/(가정!$D$5/가정!$D$11))+1</f>
        <v>2</v>
      </c>
      <c r="D27" s="12" t="n">
        <f aca="false">IF(C27&lt;&gt;C26,IF(C27=1,가정!$D$12,IF(C27=2,가정!$D$13,IF(C27=3,가정!$D$14,IF(C27=4,가정!$D$15,가정!$D$16)))),D26*(1+IF(C27=1,가정!$D$17,IF(C27=2,가정!$D$18,IF(C27=3,가정!$D$19,IF(C27=4,가정!$D$20,가정!$D$21)))))*IF(B27&lt;&gt;B26,(1+가정!$D$22),1))</f>
        <v>1813.69693466</v>
      </c>
      <c r="E27" s="14" t="n">
        <f aca="false">D27/D26-1</f>
        <v>0.7</v>
      </c>
    </row>
    <row r="28" customFormat="false" ht="15" hidden="false" customHeight="false" outlineLevel="0" collapsed="false">
      <c r="A28" s="11" t="n">
        <v>25</v>
      </c>
      <c r="B28" s="11" t="n">
        <f aca="false">IF(A28&lt;=가정!$D$6,1,2+INT((A28-가정!$D$6-1)/가정!$D$7))</f>
        <v>4</v>
      </c>
      <c r="C28" s="11" t="n">
        <f aca="false">INT((B28-1)/(가정!$D$5/가정!$D$11))+1</f>
        <v>2</v>
      </c>
      <c r="D28" s="12" t="n">
        <f aca="false">IF(C28&lt;&gt;C27,IF(C28=1,가정!$D$12,IF(C28=2,가정!$D$13,IF(C28=3,가정!$D$14,IF(C28=4,가정!$D$15,가정!$D$16)))),D27*(1+IF(C28=1,가정!$D$17,IF(C28=2,가정!$D$18,IF(C28=3,가정!$D$19,IF(C28=4,가정!$D$20,가정!$D$21)))))*IF(B28&lt;&gt;B27,(1+가정!$D$22),1))</f>
        <v>3083.284788922</v>
      </c>
      <c r="E28" s="14" t="n">
        <f aca="false">D28/D27-1</f>
        <v>0.7</v>
      </c>
    </row>
    <row r="29" customFormat="false" ht="15" hidden="false" customHeight="false" outlineLevel="0" collapsed="false">
      <c r="A29" s="11" t="n">
        <v>26</v>
      </c>
      <c r="B29" s="11" t="n">
        <f aca="false">IF(A29&lt;=가정!$D$6,1,2+INT((A29-가정!$D$6-1)/가정!$D$7))</f>
        <v>5</v>
      </c>
      <c r="C29" s="11" t="n">
        <f aca="false">INT((B29-1)/(가정!$D$5/가정!$D$11))+1</f>
        <v>3</v>
      </c>
      <c r="D29" s="12" t="n">
        <f aca="false">IF(C29&lt;&gt;C28,IF(C29=1,가정!$D$12,IF(C29=2,가정!$D$13,IF(C29=3,가정!$D$14,IF(C29=4,가정!$D$15,가정!$D$16)))),D28*(1+IF(C29=1,가정!$D$17,IF(C29=2,가정!$D$18,IF(C29=3,가정!$D$19,IF(C29=4,가정!$D$20,가정!$D$21)))))*IF(B29&lt;&gt;B28,(1+가정!$D$22),1))</f>
        <v>30</v>
      </c>
      <c r="E29" s="14" t="n">
        <f aca="false">D29/D28-1</f>
        <v>-0.990270117081696</v>
      </c>
    </row>
    <row r="30" customFormat="false" ht="15" hidden="false" customHeight="false" outlineLevel="0" collapsed="false">
      <c r="A30" s="11" t="n">
        <v>27</v>
      </c>
      <c r="B30" s="11" t="n">
        <f aca="false">IF(A30&lt;=가정!$D$6,1,2+INT((A30-가정!$D$6-1)/가정!$D$7))</f>
        <v>5</v>
      </c>
      <c r="C30" s="11" t="n">
        <f aca="false">INT((B30-1)/(가정!$D$5/가정!$D$11))+1</f>
        <v>3</v>
      </c>
      <c r="D30" s="12" t="n">
        <f aca="false">IF(C30&lt;&gt;C29,IF(C30=1,가정!$D$12,IF(C30=2,가정!$D$13,IF(C30=3,가정!$D$14,IF(C30=4,가정!$D$15,가정!$D$16)))),D29*(1+IF(C30=1,가정!$D$17,IF(C30=2,가정!$D$18,IF(C30=3,가정!$D$19,IF(C30=4,가정!$D$20,가정!$D$21)))))*IF(B30&lt;&gt;B29,(1+가정!$D$22),1))</f>
        <v>60</v>
      </c>
      <c r="E30" s="14" t="n">
        <f aca="false">D30/D29-1</f>
        <v>1</v>
      </c>
    </row>
    <row r="31" customFormat="false" ht="15" hidden="false" customHeight="false" outlineLevel="0" collapsed="false">
      <c r="A31" s="11" t="n">
        <v>28</v>
      </c>
      <c r="B31" s="11" t="n">
        <f aca="false">IF(A31&lt;=가정!$D$6,1,2+INT((A31-가정!$D$6-1)/가정!$D$7))</f>
        <v>5</v>
      </c>
      <c r="C31" s="11" t="n">
        <f aca="false">INT((B31-1)/(가정!$D$5/가정!$D$11))+1</f>
        <v>3</v>
      </c>
      <c r="D31" s="12" t="n">
        <f aca="false">IF(C31&lt;&gt;C30,IF(C31=1,가정!$D$12,IF(C31=2,가정!$D$13,IF(C31=3,가정!$D$14,IF(C31=4,가정!$D$15,가정!$D$16)))),D30*(1+IF(C31=1,가정!$D$17,IF(C31=2,가정!$D$18,IF(C31=3,가정!$D$19,IF(C31=4,가정!$D$20,가정!$D$21)))))*IF(B31&lt;&gt;B30,(1+가정!$D$22),1))</f>
        <v>120</v>
      </c>
      <c r="E31" s="14" t="n">
        <f aca="false">D31/D30-1</f>
        <v>1</v>
      </c>
    </row>
    <row r="32" customFormat="false" ht="15" hidden="false" customHeight="false" outlineLevel="0" collapsed="false">
      <c r="A32" s="11" t="n">
        <v>29</v>
      </c>
      <c r="B32" s="11" t="n">
        <f aca="false">IF(A32&lt;=가정!$D$6,1,2+INT((A32-가정!$D$6-1)/가정!$D$7))</f>
        <v>5</v>
      </c>
      <c r="C32" s="11" t="n">
        <f aca="false">INT((B32-1)/(가정!$D$5/가정!$D$11))+1</f>
        <v>3</v>
      </c>
      <c r="D32" s="12" t="n">
        <f aca="false">IF(C32&lt;&gt;C31,IF(C32=1,가정!$D$12,IF(C32=2,가정!$D$13,IF(C32=3,가정!$D$14,IF(C32=4,가정!$D$15,가정!$D$16)))),D31*(1+IF(C32=1,가정!$D$17,IF(C32=2,가정!$D$18,IF(C32=3,가정!$D$19,IF(C32=4,가정!$D$20,가정!$D$21)))))*IF(B32&lt;&gt;B31,(1+가정!$D$22),1))</f>
        <v>240</v>
      </c>
      <c r="E32" s="14" t="n">
        <f aca="false">D32/D31-1</f>
        <v>1</v>
      </c>
    </row>
    <row r="33" customFormat="false" ht="15" hidden="false" customHeight="false" outlineLevel="0" collapsed="false">
      <c r="A33" s="11" t="n">
        <v>30</v>
      </c>
      <c r="B33" s="11" t="n">
        <f aca="false">IF(A33&lt;=가정!$D$6,1,2+INT((A33-가정!$D$6-1)/가정!$D$7))</f>
        <v>5</v>
      </c>
      <c r="C33" s="11" t="n">
        <f aca="false">INT((B33-1)/(가정!$D$5/가정!$D$11))+1</f>
        <v>3</v>
      </c>
      <c r="D33" s="12" t="n">
        <f aca="false">IF(C33&lt;&gt;C32,IF(C33=1,가정!$D$12,IF(C33=2,가정!$D$13,IF(C33=3,가정!$D$14,IF(C33=4,가정!$D$15,가정!$D$16)))),D32*(1+IF(C33=1,가정!$D$17,IF(C33=2,가정!$D$18,IF(C33=3,가정!$D$19,IF(C33=4,가정!$D$20,가정!$D$21)))))*IF(B33&lt;&gt;B32,(1+가정!$D$22),1))</f>
        <v>480</v>
      </c>
      <c r="E33" s="14" t="n">
        <f aca="false">D33/D32-1</f>
        <v>1</v>
      </c>
    </row>
    <row r="34" customFormat="false" ht="15" hidden="false" customHeight="false" outlineLevel="0" collapsed="false">
      <c r="A34" s="11" t="n">
        <v>31</v>
      </c>
      <c r="B34" s="11" t="n">
        <f aca="false">IF(A34&lt;=가정!$D$6,1,2+INT((A34-가정!$D$6-1)/가정!$D$7))</f>
        <v>6</v>
      </c>
      <c r="C34" s="11" t="n">
        <f aca="false">INT((B34-1)/(가정!$D$5/가정!$D$11))+1</f>
        <v>3</v>
      </c>
      <c r="D34" s="12" t="n">
        <f aca="false">IF(C34&lt;&gt;C33,IF(C34=1,가정!$D$12,IF(C34=2,가정!$D$13,IF(C34=3,가정!$D$14,IF(C34=4,가정!$D$15,가정!$D$16)))),D33*(1+IF(C34=1,가정!$D$17,IF(C34=2,가정!$D$18,IF(C34=3,가정!$D$19,IF(C34=4,가정!$D$20,가정!$D$21)))))*IF(B34&lt;&gt;B33,(1+가정!$D$22),1))</f>
        <v>1248</v>
      </c>
      <c r="E34" s="14" t="n">
        <f aca="false">D34/D33-1</f>
        <v>1.6</v>
      </c>
    </row>
    <row r="35" customFormat="false" ht="15" hidden="false" customHeight="false" outlineLevel="0" collapsed="false">
      <c r="A35" s="11" t="n">
        <v>32</v>
      </c>
      <c r="B35" s="11" t="n">
        <f aca="false">IF(A35&lt;=가정!$D$6,1,2+INT((A35-가정!$D$6-1)/가정!$D$7))</f>
        <v>6</v>
      </c>
      <c r="C35" s="11" t="n">
        <f aca="false">INT((B35-1)/(가정!$D$5/가정!$D$11))+1</f>
        <v>3</v>
      </c>
      <c r="D35" s="12" t="n">
        <f aca="false">IF(C35&lt;&gt;C34,IF(C35=1,가정!$D$12,IF(C35=2,가정!$D$13,IF(C35=3,가정!$D$14,IF(C35=4,가정!$D$15,가정!$D$16)))),D34*(1+IF(C35=1,가정!$D$17,IF(C35=2,가정!$D$18,IF(C35=3,가정!$D$19,IF(C35=4,가정!$D$20,가정!$D$21)))))*IF(B35&lt;&gt;B34,(1+가정!$D$22),1))</f>
        <v>2496</v>
      </c>
      <c r="E35" s="14" t="n">
        <f aca="false">D35/D34-1</f>
        <v>1</v>
      </c>
    </row>
    <row r="36" customFormat="false" ht="15" hidden="false" customHeight="false" outlineLevel="0" collapsed="false">
      <c r="A36" s="11" t="n">
        <v>33</v>
      </c>
      <c r="B36" s="11" t="n">
        <f aca="false">IF(A36&lt;=가정!$D$6,1,2+INT((A36-가정!$D$6-1)/가정!$D$7))</f>
        <v>6</v>
      </c>
      <c r="C36" s="11" t="n">
        <f aca="false">INT((B36-1)/(가정!$D$5/가정!$D$11))+1</f>
        <v>3</v>
      </c>
      <c r="D36" s="12" t="n">
        <f aca="false">IF(C36&lt;&gt;C35,IF(C36=1,가정!$D$12,IF(C36=2,가정!$D$13,IF(C36=3,가정!$D$14,IF(C36=4,가정!$D$15,가정!$D$16)))),D35*(1+IF(C36=1,가정!$D$17,IF(C36=2,가정!$D$18,IF(C36=3,가정!$D$19,IF(C36=4,가정!$D$20,가정!$D$21)))))*IF(B36&lt;&gt;B35,(1+가정!$D$22),1))</f>
        <v>4992</v>
      </c>
      <c r="E36" s="14" t="n">
        <f aca="false">D36/D35-1</f>
        <v>1</v>
      </c>
    </row>
    <row r="37" customFormat="false" ht="15" hidden="false" customHeight="false" outlineLevel="0" collapsed="false">
      <c r="A37" s="11" t="n">
        <v>34</v>
      </c>
      <c r="B37" s="11" t="n">
        <f aca="false">IF(A37&lt;=가정!$D$6,1,2+INT((A37-가정!$D$6-1)/가정!$D$7))</f>
        <v>6</v>
      </c>
      <c r="C37" s="11" t="n">
        <f aca="false">INT((B37-1)/(가정!$D$5/가정!$D$11))+1</f>
        <v>3</v>
      </c>
      <c r="D37" s="12" t="n">
        <f aca="false">IF(C37&lt;&gt;C36,IF(C37=1,가정!$D$12,IF(C37=2,가정!$D$13,IF(C37=3,가정!$D$14,IF(C37=4,가정!$D$15,가정!$D$16)))),D36*(1+IF(C37=1,가정!$D$17,IF(C37=2,가정!$D$18,IF(C37=3,가정!$D$19,IF(C37=4,가정!$D$20,가정!$D$21)))))*IF(B37&lt;&gt;B36,(1+가정!$D$22),1))</f>
        <v>9984</v>
      </c>
      <c r="E37" s="14" t="n">
        <f aca="false">D37/D36-1</f>
        <v>1</v>
      </c>
    </row>
    <row r="38" customFormat="false" ht="15" hidden="false" customHeight="false" outlineLevel="0" collapsed="false">
      <c r="A38" s="11" t="n">
        <v>35</v>
      </c>
      <c r="B38" s="11" t="n">
        <f aca="false">IF(A38&lt;=가정!$D$6,1,2+INT((A38-가정!$D$6-1)/가정!$D$7))</f>
        <v>6</v>
      </c>
      <c r="C38" s="11" t="n">
        <f aca="false">INT((B38-1)/(가정!$D$5/가정!$D$11))+1</f>
        <v>3</v>
      </c>
      <c r="D38" s="12" t="n">
        <f aca="false">IF(C38&lt;&gt;C37,IF(C38=1,가정!$D$12,IF(C38=2,가정!$D$13,IF(C38=3,가정!$D$14,IF(C38=4,가정!$D$15,가정!$D$16)))),D37*(1+IF(C38=1,가정!$D$17,IF(C38=2,가정!$D$18,IF(C38=3,가정!$D$19,IF(C38=4,가정!$D$20,가정!$D$21)))))*IF(B38&lt;&gt;B37,(1+가정!$D$22),1))</f>
        <v>19968</v>
      </c>
      <c r="E38" s="14" t="n">
        <f aca="false">D38/D37-1</f>
        <v>1</v>
      </c>
    </row>
    <row r="39" customFormat="false" ht="15" hidden="false" customHeight="false" outlineLevel="0" collapsed="false">
      <c r="A39" s="11" t="n">
        <v>36</v>
      </c>
      <c r="B39" s="11" t="n">
        <f aca="false">IF(A39&lt;=가정!$D$6,1,2+INT((A39-가정!$D$6-1)/가정!$D$7))</f>
        <v>7</v>
      </c>
      <c r="C39" s="11" t="n">
        <f aca="false">INT((B39-1)/(가정!$D$5/가정!$D$11))+1</f>
        <v>4</v>
      </c>
      <c r="D39" s="12" t="n">
        <f aca="false">IF(C39&lt;&gt;C38,IF(C39=1,가정!$D$12,IF(C39=2,가정!$D$13,IF(C39=3,가정!$D$14,IF(C39=4,가정!$D$15,가정!$D$16)))),D38*(1+IF(C39=1,가정!$D$17,IF(C39=2,가정!$D$18,IF(C39=3,가정!$D$19,IF(C39=4,가정!$D$20,가정!$D$21)))))*IF(B39&lt;&gt;B38,(1+가정!$D$22),1))</f>
        <v>40</v>
      </c>
      <c r="E39" s="14" t="n">
        <f aca="false">D39/D38-1</f>
        <v>-0.997996794871795</v>
      </c>
    </row>
    <row r="40" customFormat="false" ht="15" hidden="false" customHeight="false" outlineLevel="0" collapsed="false">
      <c r="A40" s="11" t="n">
        <v>37</v>
      </c>
      <c r="B40" s="11" t="n">
        <f aca="false">IF(A40&lt;=가정!$D$6,1,2+INT((A40-가정!$D$6-1)/가정!$D$7))</f>
        <v>7</v>
      </c>
      <c r="C40" s="11" t="n">
        <f aca="false">INT((B40-1)/(가정!$D$5/가정!$D$11))+1</f>
        <v>4</v>
      </c>
      <c r="D40" s="12" t="n">
        <f aca="false">IF(C40&lt;&gt;C39,IF(C40=1,가정!$D$12,IF(C40=2,가정!$D$13,IF(C40=3,가정!$D$14,IF(C40=4,가정!$D$15,가정!$D$16)))),D39*(1+IF(C40=1,가정!$D$17,IF(C40=2,가정!$D$18,IF(C40=3,가정!$D$19,IF(C40=4,가정!$D$20,가정!$D$21)))))*IF(B40&lt;&gt;B39,(1+가정!$D$22),1))</f>
        <v>90</v>
      </c>
      <c r="E40" s="14" t="n">
        <f aca="false">D40/D39-1</f>
        <v>1.25</v>
      </c>
    </row>
    <row r="41" customFormat="false" ht="15" hidden="false" customHeight="false" outlineLevel="0" collapsed="false">
      <c r="A41" s="11" t="n">
        <v>38</v>
      </c>
      <c r="B41" s="11" t="n">
        <f aca="false">IF(A41&lt;=가정!$D$6,1,2+INT((A41-가정!$D$6-1)/가정!$D$7))</f>
        <v>7</v>
      </c>
      <c r="C41" s="11" t="n">
        <f aca="false">INT((B41-1)/(가정!$D$5/가정!$D$11))+1</f>
        <v>4</v>
      </c>
      <c r="D41" s="12" t="n">
        <f aca="false">IF(C41&lt;&gt;C40,IF(C41=1,가정!$D$12,IF(C41=2,가정!$D$13,IF(C41=3,가정!$D$14,IF(C41=4,가정!$D$15,가정!$D$16)))),D40*(1+IF(C41=1,가정!$D$17,IF(C41=2,가정!$D$18,IF(C41=3,가정!$D$19,IF(C41=4,가정!$D$20,가정!$D$21)))))*IF(B41&lt;&gt;B40,(1+가정!$D$22),1))</f>
        <v>202.5</v>
      </c>
      <c r="E41" s="14" t="n">
        <f aca="false">D41/D40-1</f>
        <v>1.25</v>
      </c>
    </row>
    <row r="42" customFormat="false" ht="15" hidden="false" customHeight="false" outlineLevel="0" collapsed="false">
      <c r="A42" s="11" t="n">
        <v>39</v>
      </c>
      <c r="B42" s="11" t="n">
        <f aca="false">IF(A42&lt;=가정!$D$6,1,2+INT((A42-가정!$D$6-1)/가정!$D$7))</f>
        <v>7</v>
      </c>
      <c r="C42" s="11" t="n">
        <f aca="false">INT((B42-1)/(가정!$D$5/가정!$D$11))+1</f>
        <v>4</v>
      </c>
      <c r="D42" s="12" t="n">
        <f aca="false">IF(C42&lt;&gt;C41,IF(C42=1,가정!$D$12,IF(C42=2,가정!$D$13,IF(C42=3,가정!$D$14,IF(C42=4,가정!$D$15,가정!$D$16)))),D41*(1+IF(C42=1,가정!$D$17,IF(C42=2,가정!$D$18,IF(C42=3,가정!$D$19,IF(C42=4,가정!$D$20,가정!$D$21)))))*IF(B42&lt;&gt;B41,(1+가정!$D$22),1))</f>
        <v>455.625</v>
      </c>
      <c r="E42" s="14" t="n">
        <f aca="false">D42/D41-1</f>
        <v>1.25</v>
      </c>
    </row>
    <row r="43" customFormat="false" ht="15" hidden="false" customHeight="false" outlineLevel="0" collapsed="false">
      <c r="A43" s="11" t="n">
        <v>40</v>
      </c>
      <c r="B43" s="11" t="n">
        <f aca="false">IF(A43&lt;=가정!$D$6,1,2+INT((A43-가정!$D$6-1)/가정!$D$7))</f>
        <v>7</v>
      </c>
      <c r="C43" s="11" t="n">
        <f aca="false">INT((B43-1)/(가정!$D$5/가정!$D$11))+1</f>
        <v>4</v>
      </c>
      <c r="D43" s="12" t="n">
        <f aca="false">IF(C43&lt;&gt;C42,IF(C43=1,가정!$D$12,IF(C43=2,가정!$D$13,IF(C43=3,가정!$D$14,IF(C43=4,가정!$D$15,가정!$D$16)))),D42*(1+IF(C43=1,가정!$D$17,IF(C43=2,가정!$D$18,IF(C43=3,가정!$D$19,IF(C43=4,가정!$D$20,가정!$D$21)))))*IF(B43&lt;&gt;B42,(1+가정!$D$22),1))</f>
        <v>1025.15625</v>
      </c>
      <c r="E43" s="14" t="n">
        <f aca="false">D43/D42-1</f>
        <v>1.25</v>
      </c>
    </row>
    <row r="44" customFormat="false" ht="15" hidden="false" customHeight="false" outlineLevel="0" collapsed="false">
      <c r="A44" s="11" t="n">
        <v>41</v>
      </c>
      <c r="B44" s="11" t="n">
        <f aca="false">IF(A44&lt;=가정!$D$6,1,2+INT((A44-가정!$D$6-1)/가정!$D$7))</f>
        <v>8</v>
      </c>
      <c r="C44" s="11" t="n">
        <f aca="false">INT((B44-1)/(가정!$D$5/가정!$D$11))+1</f>
        <v>4</v>
      </c>
      <c r="D44" s="12" t="n">
        <f aca="false">IF(C44&lt;&gt;C43,IF(C44=1,가정!$D$12,IF(C44=2,가정!$D$13,IF(C44=3,가정!$D$14,IF(C44=4,가정!$D$15,가정!$D$16)))),D43*(1+IF(C44=1,가정!$D$17,IF(C44=2,가정!$D$18,IF(C44=3,가정!$D$19,IF(C44=4,가정!$D$20,가정!$D$21)))))*IF(B44&lt;&gt;B43,(1+가정!$D$22),1))</f>
        <v>2998.58203125</v>
      </c>
      <c r="E44" s="14" t="n">
        <f aca="false">D44/D43-1</f>
        <v>1.925</v>
      </c>
    </row>
    <row r="45" customFormat="false" ht="15" hidden="false" customHeight="false" outlineLevel="0" collapsed="false">
      <c r="A45" s="11" t="n">
        <v>42</v>
      </c>
      <c r="B45" s="11" t="n">
        <f aca="false">IF(A45&lt;=가정!$D$6,1,2+INT((A45-가정!$D$6-1)/가정!$D$7))</f>
        <v>8</v>
      </c>
      <c r="C45" s="11" t="n">
        <f aca="false">INT((B45-1)/(가정!$D$5/가정!$D$11))+1</f>
        <v>4</v>
      </c>
      <c r="D45" s="12" t="n">
        <f aca="false">IF(C45&lt;&gt;C44,IF(C45=1,가정!$D$12,IF(C45=2,가정!$D$13,IF(C45=3,가정!$D$14,IF(C45=4,가정!$D$15,가정!$D$16)))),D44*(1+IF(C45=1,가정!$D$17,IF(C45=2,가정!$D$18,IF(C45=3,가정!$D$19,IF(C45=4,가정!$D$20,가정!$D$21)))))*IF(B45&lt;&gt;B44,(1+가정!$D$22),1))</f>
        <v>6746.8095703125</v>
      </c>
      <c r="E45" s="14" t="n">
        <f aca="false">D45/D44-1</f>
        <v>1.25</v>
      </c>
    </row>
    <row r="46" customFormat="false" ht="15" hidden="false" customHeight="false" outlineLevel="0" collapsed="false">
      <c r="A46" s="11" t="n">
        <v>43</v>
      </c>
      <c r="B46" s="11" t="n">
        <f aca="false">IF(A46&lt;=가정!$D$6,1,2+INT((A46-가정!$D$6-1)/가정!$D$7))</f>
        <v>8</v>
      </c>
      <c r="C46" s="11" t="n">
        <f aca="false">INT((B46-1)/(가정!$D$5/가정!$D$11))+1</f>
        <v>4</v>
      </c>
      <c r="D46" s="12" t="n">
        <f aca="false">IF(C46&lt;&gt;C45,IF(C46=1,가정!$D$12,IF(C46=2,가정!$D$13,IF(C46=3,가정!$D$14,IF(C46=4,가정!$D$15,가정!$D$16)))),D45*(1+IF(C46=1,가정!$D$17,IF(C46=2,가정!$D$18,IF(C46=3,가정!$D$19,IF(C46=4,가정!$D$20,가정!$D$21)))))*IF(B46&lt;&gt;B45,(1+가정!$D$22),1))</f>
        <v>15180.3215332031</v>
      </c>
      <c r="E46" s="14" t="n">
        <f aca="false">D46/D45-1</f>
        <v>1.25</v>
      </c>
    </row>
    <row r="47" customFormat="false" ht="15" hidden="false" customHeight="false" outlineLevel="0" collapsed="false">
      <c r="A47" s="11" t="n">
        <v>44</v>
      </c>
      <c r="B47" s="11" t="n">
        <f aca="false">IF(A47&lt;=가정!$D$6,1,2+INT((A47-가정!$D$6-1)/가정!$D$7))</f>
        <v>8</v>
      </c>
      <c r="C47" s="11" t="n">
        <f aca="false">INT((B47-1)/(가정!$D$5/가정!$D$11))+1</f>
        <v>4</v>
      </c>
      <c r="D47" s="12" t="n">
        <f aca="false">IF(C47&lt;&gt;C46,IF(C47=1,가정!$D$12,IF(C47=2,가정!$D$13,IF(C47=3,가정!$D$14,IF(C47=4,가정!$D$15,가정!$D$16)))),D46*(1+IF(C47=1,가정!$D$17,IF(C47=2,가정!$D$18,IF(C47=3,가정!$D$19,IF(C47=4,가정!$D$20,가정!$D$21)))))*IF(B47&lt;&gt;B46,(1+가정!$D$22),1))</f>
        <v>34155.723449707</v>
      </c>
      <c r="E47" s="14" t="n">
        <f aca="false">D47/D46-1</f>
        <v>1.25</v>
      </c>
    </row>
    <row r="48" customFormat="false" ht="15" hidden="false" customHeight="false" outlineLevel="0" collapsed="false">
      <c r="A48" s="11" t="n">
        <v>45</v>
      </c>
      <c r="B48" s="11" t="n">
        <f aca="false">IF(A48&lt;=가정!$D$6,1,2+INT((A48-가정!$D$6-1)/가정!$D$7))</f>
        <v>8</v>
      </c>
      <c r="C48" s="11" t="n">
        <f aca="false">INT((B48-1)/(가정!$D$5/가정!$D$11))+1</f>
        <v>4</v>
      </c>
      <c r="D48" s="12" t="n">
        <f aca="false">IF(C48&lt;&gt;C47,IF(C48=1,가정!$D$12,IF(C48=2,가정!$D$13,IF(C48=3,가정!$D$14,IF(C48=4,가정!$D$15,가정!$D$16)))),D47*(1+IF(C48=1,가정!$D$17,IF(C48=2,가정!$D$18,IF(C48=3,가정!$D$19,IF(C48=4,가정!$D$20,가정!$D$21)))))*IF(B48&lt;&gt;B47,(1+가정!$D$22),1))</f>
        <v>76850.3777618408</v>
      </c>
      <c r="E48" s="14" t="n">
        <f aca="false">D48/D47-1</f>
        <v>1.25</v>
      </c>
    </row>
    <row r="49" customFormat="false" ht="15" hidden="false" customHeight="false" outlineLevel="0" collapsed="false">
      <c r="A49" s="11" t="n">
        <v>46</v>
      </c>
      <c r="B49" s="11" t="n">
        <f aca="false">IF(A49&lt;=가정!$D$6,1,2+INT((A49-가정!$D$6-1)/가정!$D$7))</f>
        <v>9</v>
      </c>
      <c r="C49" s="11" t="n">
        <f aca="false">INT((B49-1)/(가정!$D$5/가정!$D$11))+1</f>
        <v>5</v>
      </c>
      <c r="D49" s="12" t="n">
        <f aca="false">IF(C49&lt;&gt;C48,IF(C49=1,가정!$D$12,IF(C49=2,가정!$D$13,IF(C49=3,가정!$D$14,IF(C49=4,가정!$D$15,가정!$D$16)))),D48*(1+IF(C49=1,가정!$D$17,IF(C49=2,가정!$D$18,IF(C49=3,가정!$D$19,IF(C49=4,가정!$D$20,가정!$D$21)))))*IF(B49&lt;&gt;B48,(1+가정!$D$22),1))</f>
        <v>50</v>
      </c>
      <c r="E49" s="14" t="n">
        <f aca="false">D49/D48-1</f>
        <v>-0.999349385110963</v>
      </c>
    </row>
    <row r="50" customFormat="false" ht="15" hidden="false" customHeight="false" outlineLevel="0" collapsed="false">
      <c r="A50" s="11" t="n">
        <v>47</v>
      </c>
      <c r="B50" s="11" t="n">
        <f aca="false">IF(A50&lt;=가정!$D$6,1,2+INT((A50-가정!$D$6-1)/가정!$D$7))</f>
        <v>9</v>
      </c>
      <c r="C50" s="11" t="n">
        <f aca="false">INT((B50-1)/(가정!$D$5/가정!$D$11))+1</f>
        <v>5</v>
      </c>
      <c r="D50" s="12" t="n">
        <f aca="false">IF(C50&lt;&gt;C49,IF(C50=1,가정!$D$12,IF(C50=2,가정!$D$13,IF(C50=3,가정!$D$14,IF(C50=4,가정!$D$15,가정!$D$16)))),D49*(1+IF(C50=1,가정!$D$17,IF(C50=2,가정!$D$18,IF(C50=3,가정!$D$19,IF(C50=4,가정!$D$20,가정!$D$21)))))*IF(B50&lt;&gt;B49,(1+가정!$D$22),1))</f>
        <v>125</v>
      </c>
      <c r="E50" s="14" t="n">
        <f aca="false">D50/D49-1</f>
        <v>1.5</v>
      </c>
    </row>
    <row r="51" customFormat="false" ht="15" hidden="false" customHeight="false" outlineLevel="0" collapsed="false">
      <c r="A51" s="11" t="n">
        <v>48</v>
      </c>
      <c r="B51" s="11" t="n">
        <f aca="false">IF(A51&lt;=가정!$D$6,1,2+INT((A51-가정!$D$6-1)/가정!$D$7))</f>
        <v>9</v>
      </c>
      <c r="C51" s="11" t="n">
        <f aca="false">INT((B51-1)/(가정!$D$5/가정!$D$11))+1</f>
        <v>5</v>
      </c>
      <c r="D51" s="12" t="n">
        <f aca="false">IF(C51&lt;&gt;C50,IF(C51=1,가정!$D$12,IF(C51=2,가정!$D$13,IF(C51=3,가정!$D$14,IF(C51=4,가정!$D$15,가정!$D$16)))),D50*(1+IF(C51=1,가정!$D$17,IF(C51=2,가정!$D$18,IF(C51=3,가정!$D$19,IF(C51=4,가정!$D$20,가정!$D$21)))))*IF(B51&lt;&gt;B50,(1+가정!$D$22),1))</f>
        <v>312.5</v>
      </c>
      <c r="E51" s="14" t="n">
        <f aca="false">D51/D50-1</f>
        <v>1.5</v>
      </c>
    </row>
    <row r="52" customFormat="false" ht="15" hidden="false" customHeight="false" outlineLevel="0" collapsed="false">
      <c r="A52" s="11" t="n">
        <v>49</v>
      </c>
      <c r="B52" s="11" t="n">
        <f aca="false">IF(A52&lt;=가정!$D$6,1,2+INT((A52-가정!$D$6-1)/가정!$D$7))</f>
        <v>9</v>
      </c>
      <c r="C52" s="11" t="n">
        <f aca="false">INT((B52-1)/(가정!$D$5/가정!$D$11))+1</f>
        <v>5</v>
      </c>
      <c r="D52" s="12" t="n">
        <f aca="false">IF(C52&lt;&gt;C51,IF(C52=1,가정!$D$12,IF(C52=2,가정!$D$13,IF(C52=3,가정!$D$14,IF(C52=4,가정!$D$15,가정!$D$16)))),D51*(1+IF(C52=1,가정!$D$17,IF(C52=2,가정!$D$18,IF(C52=3,가정!$D$19,IF(C52=4,가정!$D$20,가정!$D$21)))))*IF(B52&lt;&gt;B51,(1+가정!$D$22),1))</f>
        <v>781.25</v>
      </c>
      <c r="E52" s="14" t="n">
        <f aca="false">D52/D51-1</f>
        <v>1.5</v>
      </c>
    </row>
    <row r="53" customFormat="false" ht="15" hidden="false" customHeight="false" outlineLevel="0" collapsed="false">
      <c r="A53" s="11" t="n">
        <v>50</v>
      </c>
      <c r="B53" s="11" t="n">
        <f aca="false">IF(A53&lt;=가정!$D$6,1,2+INT((A53-가정!$D$6-1)/가정!$D$7))</f>
        <v>9</v>
      </c>
      <c r="C53" s="11" t="n">
        <f aca="false">INT((B53-1)/(가정!$D$5/가정!$D$11))+1</f>
        <v>5</v>
      </c>
      <c r="D53" s="12" t="n">
        <f aca="false">IF(C53&lt;&gt;C52,IF(C53=1,가정!$D$12,IF(C53=2,가정!$D$13,IF(C53=3,가정!$D$14,IF(C53=4,가정!$D$15,가정!$D$16)))),D52*(1+IF(C53=1,가정!$D$17,IF(C53=2,가정!$D$18,IF(C53=3,가정!$D$19,IF(C53=4,가정!$D$20,가정!$D$21)))))*IF(B53&lt;&gt;B52,(1+가정!$D$22),1))</f>
        <v>1953.125</v>
      </c>
      <c r="E53" s="14" t="n">
        <f aca="false">D53/D52-1</f>
        <v>1.5</v>
      </c>
    </row>
    <row r="54" customFormat="false" ht="15" hidden="false" customHeight="false" outlineLevel="0" collapsed="false">
      <c r="A54" s="11" t="n">
        <v>51</v>
      </c>
      <c r="B54" s="11" t="n">
        <f aca="false">IF(A54&lt;=가정!$D$6,1,2+INT((A54-가정!$D$6-1)/가정!$D$7))</f>
        <v>10</v>
      </c>
      <c r="C54" s="11" t="n">
        <f aca="false">INT((B54-1)/(가정!$D$5/가정!$D$11))+1</f>
        <v>5</v>
      </c>
      <c r="D54" s="12" t="n">
        <f aca="false">IF(C54&lt;&gt;C53,IF(C54=1,가정!$D$12,IF(C54=2,가정!$D$13,IF(C54=3,가정!$D$14,IF(C54=4,가정!$D$15,가정!$D$16)))),D53*(1+IF(C54=1,가정!$D$17,IF(C54=2,가정!$D$18,IF(C54=3,가정!$D$19,IF(C54=4,가정!$D$20,가정!$D$21)))))*IF(B54&lt;&gt;B53,(1+가정!$D$22),1))</f>
        <v>6347.65625</v>
      </c>
      <c r="E54" s="14" t="n">
        <f aca="false">D54/D53-1</f>
        <v>2.25</v>
      </c>
    </row>
    <row r="55" customFormat="false" ht="15" hidden="false" customHeight="false" outlineLevel="0" collapsed="false">
      <c r="A55" s="11" t="n">
        <v>52</v>
      </c>
      <c r="B55" s="11" t="n">
        <f aca="false">IF(A55&lt;=가정!$D$6,1,2+INT((A55-가정!$D$6-1)/가정!$D$7))</f>
        <v>10</v>
      </c>
      <c r="C55" s="11" t="n">
        <f aca="false">INT((B55-1)/(가정!$D$5/가정!$D$11))+1</f>
        <v>5</v>
      </c>
      <c r="D55" s="12" t="n">
        <f aca="false">IF(C55&lt;&gt;C54,IF(C55=1,가정!$D$12,IF(C55=2,가정!$D$13,IF(C55=3,가정!$D$14,IF(C55=4,가정!$D$15,가정!$D$16)))),D54*(1+IF(C55=1,가정!$D$17,IF(C55=2,가정!$D$18,IF(C55=3,가정!$D$19,IF(C55=4,가정!$D$20,가정!$D$21)))))*IF(B55&lt;&gt;B54,(1+가정!$D$22),1))</f>
        <v>15869.140625</v>
      </c>
      <c r="E55" s="14" t="n">
        <f aca="false">D55/D54-1</f>
        <v>1.5</v>
      </c>
    </row>
    <row r="56" customFormat="false" ht="15" hidden="false" customHeight="false" outlineLevel="0" collapsed="false">
      <c r="A56" s="11" t="n">
        <v>53</v>
      </c>
      <c r="B56" s="11" t="n">
        <f aca="false">IF(A56&lt;=가정!$D$6,1,2+INT((A56-가정!$D$6-1)/가정!$D$7))</f>
        <v>10</v>
      </c>
      <c r="C56" s="11" t="n">
        <f aca="false">INT((B56-1)/(가정!$D$5/가정!$D$11))+1</f>
        <v>5</v>
      </c>
      <c r="D56" s="12" t="n">
        <f aca="false">IF(C56&lt;&gt;C55,IF(C56=1,가정!$D$12,IF(C56=2,가정!$D$13,IF(C56=3,가정!$D$14,IF(C56=4,가정!$D$15,가정!$D$16)))),D55*(1+IF(C56=1,가정!$D$17,IF(C56=2,가정!$D$18,IF(C56=3,가정!$D$19,IF(C56=4,가정!$D$20,가정!$D$21)))))*IF(B56&lt;&gt;B55,(1+가정!$D$22),1))</f>
        <v>39672.8515625</v>
      </c>
      <c r="E56" s="14" t="n">
        <f aca="false">D56/D55-1</f>
        <v>1.5</v>
      </c>
    </row>
    <row r="57" customFormat="false" ht="15" hidden="false" customHeight="false" outlineLevel="0" collapsed="false">
      <c r="A57" s="11" t="n">
        <v>54</v>
      </c>
      <c r="B57" s="11" t="n">
        <f aca="false">IF(A57&lt;=가정!$D$6,1,2+INT((A57-가정!$D$6-1)/가정!$D$7))</f>
        <v>10</v>
      </c>
      <c r="C57" s="11" t="n">
        <f aca="false">INT((B57-1)/(가정!$D$5/가정!$D$11))+1</f>
        <v>5</v>
      </c>
      <c r="D57" s="12" t="n">
        <f aca="false">IF(C57&lt;&gt;C56,IF(C57=1,가정!$D$12,IF(C57=2,가정!$D$13,IF(C57=3,가정!$D$14,IF(C57=4,가정!$D$15,가정!$D$16)))),D56*(1+IF(C57=1,가정!$D$17,IF(C57=2,가정!$D$18,IF(C57=3,가정!$D$19,IF(C57=4,가정!$D$20,가정!$D$21)))))*IF(B57&lt;&gt;B56,(1+가정!$D$22),1))</f>
        <v>99182.12890625</v>
      </c>
      <c r="E57" s="14" t="n">
        <f aca="false">D57/D56-1</f>
        <v>1.5</v>
      </c>
    </row>
    <row r="58" customFormat="false" ht="15" hidden="false" customHeight="false" outlineLevel="0" collapsed="false">
      <c r="A58" s="11" t="n">
        <v>55</v>
      </c>
      <c r="B58" s="11" t="n">
        <f aca="false">IF(A58&lt;=가정!$D$6,1,2+INT((A58-가정!$D$6-1)/가정!$D$7))</f>
        <v>10</v>
      </c>
      <c r="C58" s="11" t="n">
        <f aca="false">INT((B58-1)/(가정!$D$5/가정!$D$11))+1</f>
        <v>5</v>
      </c>
      <c r="D58" s="12" t="n">
        <f aca="false">IF(C58&lt;&gt;C57,IF(C58=1,가정!$D$12,IF(C58=2,가정!$D$13,IF(C58=3,가정!$D$14,IF(C58=4,가정!$D$15,가정!$D$16)))),D57*(1+IF(C58=1,가정!$D$17,IF(C58=2,가정!$D$18,IF(C58=3,가정!$D$19,IF(C58=4,가정!$D$20,가정!$D$21)))))*IF(B58&lt;&gt;B57,(1+가정!$D$22),1))</f>
        <v>247955.322265625</v>
      </c>
      <c r="E58" s="14" t="n">
        <f aca="false">D58/D57-1</f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21.6" hidden="false" customHeight="false" outlineLevel="0" collapsed="false">
      <c r="A1" s="1" t="s">
        <v>30</v>
      </c>
    </row>
    <row r="2" customFormat="false" ht="15" hidden="false" customHeight="false" outlineLevel="0" collapsed="false">
      <c r="A2" s="15" t="s">
        <v>31</v>
      </c>
    </row>
    <row r="4" customFormat="false" ht="15" hidden="false" customHeight="false" outlineLevel="0" collapsed="false">
      <c r="A4" s="2" t="s">
        <v>32</v>
      </c>
      <c r="C4" s="5" t="n">
        <v>20</v>
      </c>
    </row>
    <row r="5" customFormat="false" ht="17.15" hidden="false" customHeight="false" outlineLevel="0" collapsed="false">
      <c r="A5" s="4" t="s">
        <v>33</v>
      </c>
      <c r="C5" s="16" t="n">
        <f aca="false">VLOOKUP(C4,'깊이별 비용'!A4:D58,4,FALSE())</f>
        <v>167.042</v>
      </c>
    </row>
    <row r="6" customFormat="false" ht="15" hidden="false" customHeight="false" outlineLevel="0" collapsed="false">
      <c r="A6" s="4" t="s">
        <v>26</v>
      </c>
      <c r="C6" s="17" t="n">
        <f aca="false">VLOOKUP(C4,'깊이별 비용'!A4:D58,3,FALSE())</f>
        <v>2</v>
      </c>
    </row>
    <row r="8" customFormat="false" ht="15" hidden="false" customHeight="false" outlineLevel="0" collapsed="false">
      <c r="A8" s="9" t="s">
        <v>34</v>
      </c>
      <c r="B8" s="9" t="s">
        <v>35</v>
      </c>
      <c r="C8" s="9" t="s">
        <v>36</v>
      </c>
      <c r="D8" s="9" t="s">
        <v>37</v>
      </c>
    </row>
    <row r="9" customFormat="false" ht="15" hidden="false" customHeight="false" outlineLevel="0" collapsed="false">
      <c r="A9" s="11" t="n">
        <v>1</v>
      </c>
      <c r="B9" s="12" t="n">
        <f aca="false">SUM($C$9:C9)</f>
        <v>167.042</v>
      </c>
      <c r="C9" s="12" t="n">
        <f aca="false">$C$5</f>
        <v>167.042</v>
      </c>
      <c r="D9" s="13" t="s">
        <v>29</v>
      </c>
    </row>
    <row r="10" customFormat="false" ht="15" hidden="false" customHeight="false" outlineLevel="0" collapsed="false">
      <c r="A10" s="11" t="n">
        <v>2</v>
      </c>
      <c r="B10" s="12" t="n">
        <f aca="false">SUM($C$9:C10)</f>
        <v>375.8445</v>
      </c>
      <c r="C10" s="12" t="n">
        <f aca="false">C9*(1+가정!$D$25)</f>
        <v>208.8025</v>
      </c>
      <c r="D10" s="14" t="n">
        <f aca="false">C10/C9-1</f>
        <v>0.25</v>
      </c>
    </row>
    <row r="11" customFormat="false" ht="15" hidden="false" customHeight="false" outlineLevel="0" collapsed="false">
      <c r="A11" s="11" t="n">
        <v>3</v>
      </c>
      <c r="B11" s="12" t="n">
        <f aca="false">SUM($C$9:C11)</f>
        <v>636.847625</v>
      </c>
      <c r="C11" s="12" t="n">
        <f aca="false">C10*(1+가정!$D$25)</f>
        <v>261.003125</v>
      </c>
      <c r="D11" s="14" t="n">
        <f aca="false">C11/C10-1</f>
        <v>0.25</v>
      </c>
    </row>
    <row r="12" customFormat="false" ht="15" hidden="false" customHeight="false" outlineLevel="0" collapsed="false">
      <c r="A12" s="11" t="n">
        <v>4</v>
      </c>
      <c r="B12" s="12" t="n">
        <f aca="false">SUM($C$9:C12)</f>
        <v>963.10153125</v>
      </c>
      <c r="C12" s="12" t="n">
        <f aca="false">C11*(1+가정!$D$25)</f>
        <v>326.25390625</v>
      </c>
      <c r="D12" s="14" t="n">
        <f aca="false">C12/C11-1</f>
        <v>0.25</v>
      </c>
    </row>
    <row r="13" customFormat="false" ht="15" hidden="false" customHeight="false" outlineLevel="0" collapsed="false">
      <c r="A13" s="11" t="n">
        <v>5</v>
      </c>
      <c r="B13" s="12" t="n">
        <f aca="false">SUM($C$9:C13)</f>
        <v>1370.9189140625</v>
      </c>
      <c r="C13" s="12" t="n">
        <f aca="false">C12*(1+가정!$D$25)</f>
        <v>407.8173828125</v>
      </c>
      <c r="D13" s="14" t="n">
        <f aca="false">C13/C12-1</f>
        <v>0.25</v>
      </c>
    </row>
    <row r="14" customFormat="false" ht="15" hidden="false" customHeight="false" outlineLevel="0" collapsed="false">
      <c r="A14" s="11" t="n">
        <v>6</v>
      </c>
      <c r="B14" s="12" t="n">
        <f aca="false">SUM($C$9:C14)</f>
        <v>1880.69064257812</v>
      </c>
      <c r="C14" s="12" t="n">
        <f aca="false">C13*(1+가정!$D$25)</f>
        <v>509.771728515625</v>
      </c>
      <c r="D14" s="14" t="n">
        <f aca="false">C14/C13-1</f>
        <v>0.25</v>
      </c>
    </row>
    <row r="15" customFormat="false" ht="15" hidden="false" customHeight="false" outlineLevel="0" collapsed="false">
      <c r="A15" s="11" t="n">
        <v>7</v>
      </c>
      <c r="B15" s="12" t="n">
        <f aca="false">SUM($C$9:C15)</f>
        <v>2517.90530322266</v>
      </c>
      <c r="C15" s="12" t="n">
        <f aca="false">C14*(1+가정!$D$25)</f>
        <v>637.214660644531</v>
      </c>
      <c r="D15" s="14" t="n">
        <f aca="false">C15/C14-1</f>
        <v>0.25</v>
      </c>
    </row>
    <row r="16" customFormat="false" ht="15" hidden="false" customHeight="false" outlineLevel="0" collapsed="false">
      <c r="A16" s="11" t="n">
        <v>8</v>
      </c>
      <c r="B16" s="12" t="n">
        <f aca="false">SUM($C$9:C16)</f>
        <v>3314.42362902832</v>
      </c>
      <c r="C16" s="12" t="n">
        <f aca="false">C15*(1+가정!$D$25)</f>
        <v>796.518325805664</v>
      </c>
      <c r="D16" s="14" t="n">
        <f aca="false">C16/C15-1</f>
        <v>0.25</v>
      </c>
    </row>
    <row r="17" customFormat="false" ht="15" hidden="false" customHeight="false" outlineLevel="0" collapsed="false">
      <c r="A17" s="11" t="n">
        <v>9</v>
      </c>
      <c r="B17" s="12" t="n">
        <f aca="false">SUM($C$9:C17)</f>
        <v>4310.0715362854</v>
      </c>
      <c r="C17" s="12" t="n">
        <f aca="false">C16*(1+가정!$D$25)</f>
        <v>995.64790725708</v>
      </c>
      <c r="D17" s="14" t="n">
        <f aca="false">C17/C16-1</f>
        <v>0.25</v>
      </c>
    </row>
    <row r="18" customFormat="false" ht="15" hidden="false" customHeight="false" outlineLevel="0" collapsed="false">
      <c r="A18" s="11" t="n">
        <v>10</v>
      </c>
      <c r="B18" s="12" t="n">
        <f aca="false">SUM($C$9:C18)</f>
        <v>5554.63142035675</v>
      </c>
      <c r="C18" s="12" t="n">
        <f aca="false">C17*(1+가정!$D$25)</f>
        <v>1244.55988407135</v>
      </c>
      <c r="D18" s="14" t="n">
        <f aca="false">C18/C17-1</f>
        <v>0.25</v>
      </c>
    </row>
    <row r="20" customFormat="false" ht="128.35" hidden="false" customHeight="false" outlineLevel="0" collapsed="false">
      <c r="A20" s="18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2026-07-07T16:07:58Z</dcterms:created>
  <dc:creator>openpyxl</dc:creator>
  <dc:description/>
  <dc:language>en-US</dc:language>
  <cp:lastModifiedBy/>
  <dcterms:modified xsi:type="dcterms:W3CDTF">2026-07-07T16:08:00Z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